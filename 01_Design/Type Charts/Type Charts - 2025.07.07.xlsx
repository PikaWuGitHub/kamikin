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roject Game\01_Design\Type Charts\"/>
    </mc:Choice>
  </mc:AlternateContent>
  <xr:revisionPtr revIDLastSave="0" documentId="13_ncr:1_{0CB5EA80-0251-4460-8C62-FF931FDFA24C}" xr6:coauthVersionLast="47" xr6:coauthVersionMax="47" xr10:uidLastSave="{00000000-0000-0000-0000-000000000000}"/>
  <bookViews>
    <workbookView xWindow="-120" yWindow="-120" windowWidth="29040" windowHeight="15720" activeTab="2" xr2:uid="{E9017C5A-3612-4C4C-8D10-983A1895DB0C}"/>
  </bookViews>
  <sheets>
    <sheet name="Input" sheetId="1" r:id="rId1"/>
    <sheet name="Output" sheetId="2" r:id="rId2"/>
    <sheet name="Defensive Summary" sheetId="5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5" l="1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2" i="5"/>
  <c r="AJ106" i="5" a="1"/>
  <c r="AJ106" i="5" s="1"/>
  <c r="AI106" i="5" a="1"/>
  <c r="AI106" i="5" s="1"/>
  <c r="AH106" i="5" a="1"/>
  <c r="AH106" i="5" s="1"/>
  <c r="AG106" i="5" a="1"/>
  <c r="AG106" i="5" s="1"/>
  <c r="AF106" i="5" a="1"/>
  <c r="AF106" i="5" s="1"/>
  <c r="AE106" i="5" a="1"/>
  <c r="AE106" i="5" s="1"/>
  <c r="AD106" i="5"/>
  <c r="AD106" i="5" a="1"/>
  <c r="AC106" i="5"/>
  <c r="AC106" i="5" a="1"/>
  <c r="AB106" i="5" a="1"/>
  <c r="AB106" i="5" s="1"/>
  <c r="AA106" i="5" a="1"/>
  <c r="AA106" i="5" s="1"/>
  <c r="Z106" i="5" a="1"/>
  <c r="Z106" i="5" s="1"/>
  <c r="Y106" i="5" a="1"/>
  <c r="Y106" i="5" s="1"/>
  <c r="X106" i="5" a="1"/>
  <c r="X106" i="5" s="1"/>
  <c r="W106" i="5" a="1"/>
  <c r="W106" i="5" s="1"/>
  <c r="V106" i="5" a="1"/>
  <c r="V106" i="5" s="1"/>
  <c r="AJ105" i="5" a="1"/>
  <c r="AJ105" i="5" s="1"/>
  <c r="AI105" i="5" a="1"/>
  <c r="AI105" i="5" s="1"/>
  <c r="AH105" i="5" a="1"/>
  <c r="AH105" i="5" s="1"/>
  <c r="AG105" i="5" a="1"/>
  <c r="AG105" i="5" s="1"/>
  <c r="AF105" i="5" a="1"/>
  <c r="AF105" i="5" s="1"/>
  <c r="AE105" i="5" a="1"/>
  <c r="AE105" i="5" s="1"/>
  <c r="AD105" i="5" a="1"/>
  <c r="AD105" i="5" s="1"/>
  <c r="AC105" i="5"/>
  <c r="AC105" i="5" a="1"/>
  <c r="AB105" i="5"/>
  <c r="AB105" i="5" a="1"/>
  <c r="AA105" i="5" a="1"/>
  <c r="AA105" i="5" s="1"/>
  <c r="Z105" i="5" a="1"/>
  <c r="Z105" i="5" s="1"/>
  <c r="Y105" i="5" a="1"/>
  <c r="Y105" i="5" s="1"/>
  <c r="X105" i="5" a="1"/>
  <c r="X105" i="5" s="1"/>
  <c r="W105" i="5" a="1"/>
  <c r="W105" i="5" s="1"/>
  <c r="V105" i="5"/>
  <c r="V105" i="5" a="1"/>
  <c r="AJ104" i="5" a="1"/>
  <c r="AJ104" i="5" s="1"/>
  <c r="AI104" i="5" a="1"/>
  <c r="AI104" i="5" s="1"/>
  <c r="AH104" i="5" a="1"/>
  <c r="AH104" i="5" s="1"/>
  <c r="AG104" i="5" a="1"/>
  <c r="AG104" i="5" s="1"/>
  <c r="AF104" i="5" a="1"/>
  <c r="AF104" i="5" s="1"/>
  <c r="AE104" i="5" a="1"/>
  <c r="AE104" i="5" s="1"/>
  <c r="AD104" i="5" a="1"/>
  <c r="AD104" i="5" s="1"/>
  <c r="AC104" i="5" a="1"/>
  <c r="AC104" i="5" s="1"/>
  <c r="AB104" i="5" a="1"/>
  <c r="AB104" i="5" s="1"/>
  <c r="AA104" i="5" a="1"/>
  <c r="AA104" i="5" s="1"/>
  <c r="Z104" i="5" a="1"/>
  <c r="Z104" i="5" s="1"/>
  <c r="Y104" i="5" a="1"/>
  <c r="Y104" i="5" s="1"/>
  <c r="X104" i="5" a="1"/>
  <c r="X104" i="5" s="1"/>
  <c r="W104" i="5" a="1"/>
  <c r="W104" i="5" s="1"/>
  <c r="V104" i="5" a="1"/>
  <c r="V104" i="5" s="1"/>
  <c r="AJ103" i="5" a="1"/>
  <c r="AJ103" i="5" s="1"/>
  <c r="AI103" i="5" a="1"/>
  <c r="AI103" i="5" s="1"/>
  <c r="AH103" i="5" a="1"/>
  <c r="AH103" i="5" s="1"/>
  <c r="AG103" i="5" a="1"/>
  <c r="AG103" i="5" s="1"/>
  <c r="AF103" i="5" a="1"/>
  <c r="AF103" i="5" s="1"/>
  <c r="AE103" i="5" a="1"/>
  <c r="AE103" i="5" s="1"/>
  <c r="AD103" i="5" a="1"/>
  <c r="AD103" i="5" s="1"/>
  <c r="AC103" i="5" a="1"/>
  <c r="AC103" i="5" s="1"/>
  <c r="AB103" i="5"/>
  <c r="AB103" i="5" a="1"/>
  <c r="AA103" i="5"/>
  <c r="AA103" i="5" a="1"/>
  <c r="Z103" i="5" a="1"/>
  <c r="Z103" i="5" s="1"/>
  <c r="Y103" i="5" a="1"/>
  <c r="Y103" i="5" s="1"/>
  <c r="X103" i="5" a="1"/>
  <c r="X103" i="5" s="1"/>
  <c r="W103" i="5" a="1"/>
  <c r="W103" i="5" s="1"/>
  <c r="V103" i="5" a="1"/>
  <c r="V103" i="5" s="1"/>
  <c r="AJ102" i="5" a="1"/>
  <c r="AJ102" i="5" s="1"/>
  <c r="AI102" i="5" a="1"/>
  <c r="AI102" i="5" s="1"/>
  <c r="AH102" i="5" a="1"/>
  <c r="AH102" i="5" s="1"/>
  <c r="AG102" i="5"/>
  <c r="AG102" i="5" a="1"/>
  <c r="AF102" i="5" a="1"/>
  <c r="AF102" i="5" s="1"/>
  <c r="AE102" i="5" a="1"/>
  <c r="AE102" i="5" s="1"/>
  <c r="AD102" i="5" a="1"/>
  <c r="AD102" i="5" s="1"/>
  <c r="AC102" i="5" a="1"/>
  <c r="AC102" i="5" s="1"/>
  <c r="AB102" i="5" a="1"/>
  <c r="AB102" i="5" s="1"/>
  <c r="AA102" i="5" a="1"/>
  <c r="AA102" i="5" s="1"/>
  <c r="Z102" i="5"/>
  <c r="Z102" i="5" a="1"/>
  <c r="Y102" i="5" a="1"/>
  <c r="Y102" i="5" s="1"/>
  <c r="X102" i="5" a="1"/>
  <c r="X102" i="5" s="1"/>
  <c r="W102" i="5" a="1"/>
  <c r="W102" i="5" s="1"/>
  <c r="V102" i="5" a="1"/>
  <c r="V102" i="5" s="1"/>
  <c r="AJ101" i="5" a="1"/>
  <c r="AJ101" i="5" s="1"/>
  <c r="AI101" i="5" a="1"/>
  <c r="AI101" i="5" s="1"/>
  <c r="AH101" i="5" a="1"/>
  <c r="AH101" i="5" s="1"/>
  <c r="AG101" i="5" a="1"/>
  <c r="AG101" i="5" s="1"/>
  <c r="AF101" i="5" a="1"/>
  <c r="AF101" i="5" s="1"/>
  <c r="AE101" i="5" a="1"/>
  <c r="AE101" i="5" s="1"/>
  <c r="AD101" i="5" a="1"/>
  <c r="AD101" i="5" s="1"/>
  <c r="AC101" i="5" a="1"/>
  <c r="AC101" i="5" s="1"/>
  <c r="AB101" i="5" a="1"/>
  <c r="AB101" i="5" s="1"/>
  <c r="AA101" i="5" a="1"/>
  <c r="AA101" i="5" s="1"/>
  <c r="Z101" i="5"/>
  <c r="Z101" i="5" a="1"/>
  <c r="Y101" i="5" a="1"/>
  <c r="Y101" i="5" s="1"/>
  <c r="X101" i="5"/>
  <c r="X101" i="5" a="1"/>
  <c r="W101" i="5" a="1"/>
  <c r="W101" i="5" s="1"/>
  <c r="V101" i="5" a="1"/>
  <c r="V101" i="5" s="1"/>
  <c r="AJ100" i="5" a="1"/>
  <c r="AJ100" i="5" s="1"/>
  <c r="AI100" i="5" a="1"/>
  <c r="AI100" i="5" s="1"/>
  <c r="AH100" i="5" a="1"/>
  <c r="AH100" i="5" s="1"/>
  <c r="AG100" i="5" a="1"/>
  <c r="AG100" i="5" s="1"/>
  <c r="AF100" i="5" a="1"/>
  <c r="AF100" i="5" s="1"/>
  <c r="AE100" i="5" a="1"/>
  <c r="AE100" i="5" s="1"/>
  <c r="AD100" i="5" a="1"/>
  <c r="AD100" i="5" s="1"/>
  <c r="AC100" i="5" a="1"/>
  <c r="AC100" i="5" s="1"/>
  <c r="AB100" i="5" a="1"/>
  <c r="AB100" i="5" s="1"/>
  <c r="AA100" i="5" a="1"/>
  <c r="AA100" i="5" s="1"/>
  <c r="Z100" i="5" a="1"/>
  <c r="Z100" i="5" s="1"/>
  <c r="Y100" i="5"/>
  <c r="Y100" i="5" a="1"/>
  <c r="X100" i="5"/>
  <c r="X100" i="5" a="1"/>
  <c r="W100" i="5" a="1"/>
  <c r="W100" i="5" s="1"/>
  <c r="V100" i="5" a="1"/>
  <c r="V100" i="5" s="1"/>
  <c r="AJ99" i="5" a="1"/>
  <c r="AJ99" i="5" s="1"/>
  <c r="AI99" i="5" a="1"/>
  <c r="AI99" i="5" s="1"/>
  <c r="AH99" i="5" a="1"/>
  <c r="AH99" i="5" s="1"/>
  <c r="AG99" i="5" a="1"/>
  <c r="AG99" i="5" s="1"/>
  <c r="AF99" i="5" a="1"/>
  <c r="AF99" i="5" s="1"/>
  <c r="AE99" i="5" a="1"/>
  <c r="AE99" i="5" s="1"/>
  <c r="AD99" i="5" a="1"/>
  <c r="AD99" i="5" s="1"/>
  <c r="AC99" i="5" a="1"/>
  <c r="AC99" i="5" s="1"/>
  <c r="AB99" i="5" a="1"/>
  <c r="AB99" i="5" s="1"/>
  <c r="AA99" i="5" a="1"/>
  <c r="AA99" i="5" s="1"/>
  <c r="Z99" i="5" a="1"/>
  <c r="Z99" i="5" s="1"/>
  <c r="Y99" i="5" a="1"/>
  <c r="Y99" i="5" s="1"/>
  <c r="X99" i="5"/>
  <c r="X99" i="5" a="1"/>
  <c r="W99" i="5" a="1"/>
  <c r="W99" i="5" s="1"/>
  <c r="V99" i="5"/>
  <c r="V99" i="5" a="1"/>
  <c r="AJ98" i="5" a="1"/>
  <c r="AJ98" i="5" s="1"/>
  <c r="AI98" i="5" a="1"/>
  <c r="AI98" i="5" s="1"/>
  <c r="AH98" i="5" a="1"/>
  <c r="AH98" i="5" s="1"/>
  <c r="AG98" i="5" a="1"/>
  <c r="AG98" i="5" s="1"/>
  <c r="AF98" i="5" a="1"/>
  <c r="AF98" i="5" s="1"/>
  <c r="AE98" i="5" a="1"/>
  <c r="AE98" i="5" s="1"/>
  <c r="AD98" i="5"/>
  <c r="AD98" i="5" a="1"/>
  <c r="AC98" i="5" a="1"/>
  <c r="AC98" i="5" s="1"/>
  <c r="AB98" i="5" a="1"/>
  <c r="AB98" i="5" s="1"/>
  <c r="AA98" i="5" a="1"/>
  <c r="AA98" i="5" s="1"/>
  <c r="Z98" i="5" a="1"/>
  <c r="Z98" i="5" s="1"/>
  <c r="Y98" i="5" a="1"/>
  <c r="Y98" i="5" s="1"/>
  <c r="X98" i="5" a="1"/>
  <c r="X98" i="5" s="1"/>
  <c r="W98" i="5" a="1"/>
  <c r="W98" i="5" s="1"/>
  <c r="V98" i="5"/>
  <c r="V98" i="5" a="1"/>
  <c r="AJ97" i="5"/>
  <c r="AJ97" i="5" a="1"/>
  <c r="AI97" i="5" a="1"/>
  <c r="AI97" i="5" s="1"/>
  <c r="AH97" i="5" a="1"/>
  <c r="AH97" i="5" s="1"/>
  <c r="AG97" i="5" a="1"/>
  <c r="AG97" i="5" s="1"/>
  <c r="AF97" i="5" a="1"/>
  <c r="AF97" i="5" s="1"/>
  <c r="AE97" i="5" a="1"/>
  <c r="AE97" i="5" s="1"/>
  <c r="AD97" i="5" a="1"/>
  <c r="AD97" i="5" s="1"/>
  <c r="AC97" i="5" a="1"/>
  <c r="AC97" i="5" s="1"/>
  <c r="AB97" i="5" a="1"/>
  <c r="AB97" i="5" s="1"/>
  <c r="AA97" i="5" a="1"/>
  <c r="AA97" i="5" s="1"/>
  <c r="Z97" i="5" a="1"/>
  <c r="Z97" i="5" s="1"/>
  <c r="Y97" i="5" a="1"/>
  <c r="Y97" i="5" s="1"/>
  <c r="X97" i="5" a="1"/>
  <c r="X97" i="5" s="1"/>
  <c r="W97" i="5" a="1"/>
  <c r="W97" i="5" s="1"/>
  <c r="V97" i="5" a="1"/>
  <c r="V97" i="5" s="1"/>
  <c r="AJ96" i="5" a="1"/>
  <c r="AJ96" i="5" s="1"/>
  <c r="AI96" i="5"/>
  <c r="AI96" i="5" a="1"/>
  <c r="AH96" i="5" a="1"/>
  <c r="AH96" i="5" s="1"/>
  <c r="AG96" i="5" a="1"/>
  <c r="AG96" i="5" s="1"/>
  <c r="AF96" i="5" a="1"/>
  <c r="AF96" i="5" s="1"/>
  <c r="AE96" i="5" a="1"/>
  <c r="AE96" i="5" s="1"/>
  <c r="AD96" i="5" a="1"/>
  <c r="AD96" i="5" s="1"/>
  <c r="AC96" i="5" a="1"/>
  <c r="AC96" i="5" s="1"/>
  <c r="AB96" i="5" a="1"/>
  <c r="AB96" i="5" s="1"/>
  <c r="AA96" i="5" a="1"/>
  <c r="AA96" i="5" s="1"/>
  <c r="Z96" i="5" a="1"/>
  <c r="Z96" i="5" s="1"/>
  <c r="Y96" i="5" a="1"/>
  <c r="Y96" i="5" s="1"/>
  <c r="X96" i="5" a="1"/>
  <c r="X96" i="5" s="1"/>
  <c r="W96" i="5" a="1"/>
  <c r="W96" i="5" s="1"/>
  <c r="V96" i="5" a="1"/>
  <c r="V96" i="5" s="1"/>
  <c r="AJ95" i="5" a="1"/>
  <c r="AJ95" i="5" s="1"/>
  <c r="AI95" i="5" a="1"/>
  <c r="AI95" i="5" s="1"/>
  <c r="AH95" i="5" a="1"/>
  <c r="AH95" i="5" s="1"/>
  <c r="AG95" i="5" a="1"/>
  <c r="AG95" i="5" s="1"/>
  <c r="AF95" i="5" a="1"/>
  <c r="AF95" i="5" s="1"/>
  <c r="AE95" i="5" a="1"/>
  <c r="AE95" i="5" s="1"/>
  <c r="AD95" i="5" a="1"/>
  <c r="AD95" i="5" s="1"/>
  <c r="AC95" i="5" a="1"/>
  <c r="AC95" i="5" s="1"/>
  <c r="AB95" i="5" a="1"/>
  <c r="AB95" i="5" s="1"/>
  <c r="AA95" i="5"/>
  <c r="AA95" i="5" a="1"/>
  <c r="Z95" i="5" a="1"/>
  <c r="Z95" i="5" s="1"/>
  <c r="Y95" i="5" a="1"/>
  <c r="Y95" i="5" s="1"/>
  <c r="X95" i="5" a="1"/>
  <c r="X95" i="5" s="1"/>
  <c r="W95" i="5" a="1"/>
  <c r="W95" i="5" s="1"/>
  <c r="V95" i="5" a="1"/>
  <c r="V95" i="5" s="1"/>
  <c r="AJ94" i="5" a="1"/>
  <c r="AJ94" i="5" s="1"/>
  <c r="AI94" i="5"/>
  <c r="AI94" i="5" a="1"/>
  <c r="AH94" i="5"/>
  <c r="AH94" i="5" a="1"/>
  <c r="AG94" i="5" a="1"/>
  <c r="AG94" i="5" s="1"/>
  <c r="AF94" i="5" a="1"/>
  <c r="AF94" i="5" s="1"/>
  <c r="AE94" i="5" a="1"/>
  <c r="AE94" i="5" s="1"/>
  <c r="AD94" i="5" a="1"/>
  <c r="AD94" i="5" s="1"/>
  <c r="AC94" i="5" a="1"/>
  <c r="AC94" i="5" s="1"/>
  <c r="AB94" i="5" a="1"/>
  <c r="AB94" i="5" s="1"/>
  <c r="AA94" i="5" a="1"/>
  <c r="AA94" i="5" s="1"/>
  <c r="Z94" i="5" a="1"/>
  <c r="Z94" i="5" s="1"/>
  <c r="Y94" i="5" a="1"/>
  <c r="Y94" i="5" s="1"/>
  <c r="X94" i="5" a="1"/>
  <c r="X94" i="5" s="1"/>
  <c r="W94" i="5" a="1"/>
  <c r="W94" i="5" s="1"/>
  <c r="V94" i="5" a="1"/>
  <c r="V94" i="5" s="1"/>
  <c r="AJ93" i="5" a="1"/>
  <c r="AJ93" i="5" s="1"/>
  <c r="AI93" i="5" a="1"/>
  <c r="AI93" i="5" s="1"/>
  <c r="AH93" i="5" a="1"/>
  <c r="AH93" i="5" s="1"/>
  <c r="AG93" i="5"/>
  <c r="AG93" i="5" a="1"/>
  <c r="AF93" i="5" a="1"/>
  <c r="AF93" i="5" s="1"/>
  <c r="AE93" i="5" a="1"/>
  <c r="AE93" i="5" s="1"/>
  <c r="AD93" i="5" a="1"/>
  <c r="AD93" i="5" s="1"/>
  <c r="AC93" i="5" a="1"/>
  <c r="AC93" i="5" s="1"/>
  <c r="AB93" i="5" a="1"/>
  <c r="AB93" i="5" s="1"/>
  <c r="AA93" i="5" a="1"/>
  <c r="AA93" i="5" s="1"/>
  <c r="Z93" i="5" a="1"/>
  <c r="Z93" i="5" s="1"/>
  <c r="Y93" i="5" a="1"/>
  <c r="Y93" i="5" s="1"/>
  <c r="X93" i="5" a="1"/>
  <c r="X93" i="5" s="1"/>
  <c r="W93" i="5" a="1"/>
  <c r="W93" i="5" s="1"/>
  <c r="V93" i="5" a="1"/>
  <c r="V93" i="5" s="1"/>
  <c r="AJ92" i="5" a="1"/>
  <c r="AJ92" i="5" s="1"/>
  <c r="AI92" i="5" a="1"/>
  <c r="AI92" i="5" s="1"/>
  <c r="AH92" i="5" a="1"/>
  <c r="AH92" i="5" s="1"/>
  <c r="AG92" i="5" a="1"/>
  <c r="AG92" i="5" s="1"/>
  <c r="AF92" i="5" a="1"/>
  <c r="AF92" i="5" s="1"/>
  <c r="AE92" i="5"/>
  <c r="AE92" i="5" a="1"/>
  <c r="AD92" i="5" a="1"/>
  <c r="AD92" i="5" s="1"/>
  <c r="AC92" i="5" a="1"/>
  <c r="AC92" i="5" s="1"/>
  <c r="AB92" i="5" a="1"/>
  <c r="AB92" i="5" s="1"/>
  <c r="AA92" i="5" a="1"/>
  <c r="AA92" i="5" s="1"/>
  <c r="Z92" i="5" a="1"/>
  <c r="Z92" i="5" s="1"/>
  <c r="Y92" i="5" a="1"/>
  <c r="Y92" i="5" s="1"/>
  <c r="X92" i="5" a="1"/>
  <c r="X92" i="5" s="1"/>
  <c r="W92" i="5" a="1"/>
  <c r="W92" i="5" s="1"/>
  <c r="V92" i="5" a="1"/>
  <c r="V92" i="5" s="1"/>
  <c r="AJ91" i="5" a="1"/>
  <c r="AJ91" i="5" s="1"/>
  <c r="AI91" i="5" a="1"/>
  <c r="AI91" i="5" s="1"/>
  <c r="AH91" i="5" a="1"/>
  <c r="AH91" i="5" s="1"/>
  <c r="AG91" i="5" a="1"/>
  <c r="AG91" i="5" s="1"/>
  <c r="AF91" i="5"/>
  <c r="AF91" i="5" a="1"/>
  <c r="AE91" i="5"/>
  <c r="AE91" i="5" a="1"/>
  <c r="AD91" i="5" a="1"/>
  <c r="AD91" i="5" s="1"/>
  <c r="AC91" i="5" a="1"/>
  <c r="AC91" i="5" s="1"/>
  <c r="AB91" i="5" a="1"/>
  <c r="AB91" i="5" s="1"/>
  <c r="AA91" i="5" a="1"/>
  <c r="AA91" i="5" s="1"/>
  <c r="Z91" i="5" a="1"/>
  <c r="Z91" i="5" s="1"/>
  <c r="Y91" i="5" a="1"/>
  <c r="Y91" i="5" s="1"/>
  <c r="X91" i="5" a="1"/>
  <c r="X91" i="5" s="1"/>
  <c r="W91" i="5" a="1"/>
  <c r="W91" i="5" s="1"/>
  <c r="V91" i="5" a="1"/>
  <c r="V91" i="5" s="1"/>
  <c r="AJ90" i="5" a="1"/>
  <c r="AJ90" i="5" s="1"/>
  <c r="AI90" i="5" a="1"/>
  <c r="AI90" i="5" s="1"/>
  <c r="AH90" i="5" a="1"/>
  <c r="AH90" i="5" s="1"/>
  <c r="AG90" i="5" a="1"/>
  <c r="AG90" i="5" s="1"/>
  <c r="AF90" i="5" a="1"/>
  <c r="AF90" i="5" s="1"/>
  <c r="AE90" i="5"/>
  <c r="AE90" i="5" a="1"/>
  <c r="AD90" i="5" a="1"/>
  <c r="AD90" i="5" s="1"/>
  <c r="AC90" i="5" a="1"/>
  <c r="AC90" i="5" s="1"/>
  <c r="AB90" i="5" a="1"/>
  <c r="AB90" i="5" s="1"/>
  <c r="AA90" i="5" a="1"/>
  <c r="AA90" i="5" s="1"/>
  <c r="Z90" i="5" a="1"/>
  <c r="Z90" i="5" s="1"/>
  <c r="Y90" i="5" a="1"/>
  <c r="Y90" i="5" s="1"/>
  <c r="X90" i="5" a="1"/>
  <c r="X90" i="5" s="1"/>
  <c r="W90" i="5" a="1"/>
  <c r="W90" i="5" s="1"/>
  <c r="V90" i="5" a="1"/>
  <c r="V90" i="5" s="1"/>
  <c r="AJ89" i="5"/>
  <c r="AJ89" i="5" a="1"/>
  <c r="AI89" i="5" a="1"/>
  <c r="AI89" i="5" s="1"/>
  <c r="AH89" i="5" a="1"/>
  <c r="AH89" i="5" s="1"/>
  <c r="AG89" i="5" a="1"/>
  <c r="AG89" i="5" s="1"/>
  <c r="AF89" i="5" a="1"/>
  <c r="AF89" i="5" s="1"/>
  <c r="AE89" i="5" a="1"/>
  <c r="AE89" i="5" s="1"/>
  <c r="AD89" i="5" a="1"/>
  <c r="AD89" i="5" s="1"/>
  <c r="AC89" i="5"/>
  <c r="AC89" i="5" a="1"/>
  <c r="AB89" i="5"/>
  <c r="AB89" i="5" a="1"/>
  <c r="AA89" i="5" a="1"/>
  <c r="AA89" i="5" s="1"/>
  <c r="Z89" i="5" a="1"/>
  <c r="Z89" i="5" s="1"/>
  <c r="Y89" i="5" a="1"/>
  <c r="Y89" i="5" s="1"/>
  <c r="X89" i="5" a="1"/>
  <c r="X89" i="5" s="1"/>
  <c r="W89" i="5" a="1"/>
  <c r="W89" i="5" s="1"/>
  <c r="V89" i="5"/>
  <c r="V89" i="5" a="1"/>
  <c r="AJ88" i="5" a="1"/>
  <c r="AJ88" i="5" s="1"/>
  <c r="AI88" i="5" a="1"/>
  <c r="AI88" i="5" s="1"/>
  <c r="AH88" i="5" a="1"/>
  <c r="AH88" i="5" s="1"/>
  <c r="AG88" i="5" a="1"/>
  <c r="AG88" i="5" s="1"/>
  <c r="AF88" i="5" a="1"/>
  <c r="AF88" i="5" s="1"/>
  <c r="AE88" i="5" a="1"/>
  <c r="AE88" i="5" s="1"/>
  <c r="AD88" i="5" a="1"/>
  <c r="AD88" i="5" s="1"/>
  <c r="AC88" i="5"/>
  <c r="AC88" i="5" a="1"/>
  <c r="AB88" i="5" a="1"/>
  <c r="AB88" i="5" s="1"/>
  <c r="AA88" i="5"/>
  <c r="AA88" i="5" a="1"/>
  <c r="Z88" i="5" a="1"/>
  <c r="Z88" i="5" s="1"/>
  <c r="Y88" i="5" a="1"/>
  <c r="Y88" i="5" s="1"/>
  <c r="X88" i="5" a="1"/>
  <c r="X88" i="5" s="1"/>
  <c r="W88" i="5" a="1"/>
  <c r="W88" i="5" s="1"/>
  <c r="V88" i="5" a="1"/>
  <c r="V88" i="5" s="1"/>
  <c r="AJ87" i="5"/>
  <c r="AJ87" i="5" a="1"/>
  <c r="AI87" i="5" a="1"/>
  <c r="AI87" i="5" s="1"/>
  <c r="AH87" i="5" a="1"/>
  <c r="AH87" i="5" s="1"/>
  <c r="AG87" i="5" a="1"/>
  <c r="AG87" i="5" s="1"/>
  <c r="AF87" i="5" a="1"/>
  <c r="AF87" i="5" s="1"/>
  <c r="AE87" i="5" a="1"/>
  <c r="AE87" i="5" s="1"/>
  <c r="AD87" i="5" a="1"/>
  <c r="AD87" i="5" s="1"/>
  <c r="AC87" i="5" a="1"/>
  <c r="AC87" i="5" s="1"/>
  <c r="AB87" i="5" a="1"/>
  <c r="AB87" i="5" s="1"/>
  <c r="AA87" i="5" a="1"/>
  <c r="AA87" i="5" s="1"/>
  <c r="Z87" i="5" a="1"/>
  <c r="Z87" i="5" s="1"/>
  <c r="Y87" i="5" a="1"/>
  <c r="Y87" i="5" s="1"/>
  <c r="X87" i="5" a="1"/>
  <c r="X87" i="5" s="1"/>
  <c r="W87" i="5" a="1"/>
  <c r="W87" i="5" s="1"/>
  <c r="V87" i="5" a="1"/>
  <c r="V87" i="5" s="1"/>
  <c r="AJ86" i="5" a="1"/>
  <c r="AJ86" i="5" s="1"/>
  <c r="AI86" i="5"/>
  <c r="AI86" i="5" a="1"/>
  <c r="AH86" i="5" a="1"/>
  <c r="AH86" i="5" s="1"/>
  <c r="AG86" i="5" a="1"/>
  <c r="AG86" i="5" s="1"/>
  <c r="AF86" i="5" a="1"/>
  <c r="AF86" i="5" s="1"/>
  <c r="AE86" i="5" a="1"/>
  <c r="AE86" i="5" s="1"/>
  <c r="AD86" i="5" a="1"/>
  <c r="AD86" i="5" s="1"/>
  <c r="AC86" i="5" a="1"/>
  <c r="AC86" i="5" s="1"/>
  <c r="AB86" i="5" a="1"/>
  <c r="AB86" i="5" s="1"/>
  <c r="AA86" i="5"/>
  <c r="AA86" i="5" a="1"/>
  <c r="Z86" i="5"/>
  <c r="Z86" i="5" a="1"/>
  <c r="Y86" i="5" a="1"/>
  <c r="Y86" i="5" s="1"/>
  <c r="X86" i="5" a="1"/>
  <c r="X86" i="5" s="1"/>
  <c r="W86" i="5" a="1"/>
  <c r="W86" i="5" s="1"/>
  <c r="V86" i="5" a="1"/>
  <c r="V86" i="5" s="1"/>
  <c r="AJ85" i="5" a="1"/>
  <c r="AJ85" i="5" s="1"/>
  <c r="AI85" i="5" a="1"/>
  <c r="AI85" i="5" s="1"/>
  <c r="AH85" i="5" a="1"/>
  <c r="AH85" i="5" s="1"/>
  <c r="AG85" i="5" a="1"/>
  <c r="AG85" i="5" s="1"/>
  <c r="AF85" i="5" a="1"/>
  <c r="AF85" i="5" s="1"/>
  <c r="AE85" i="5" a="1"/>
  <c r="AE85" i="5" s="1"/>
  <c r="AD85" i="5" a="1"/>
  <c r="AD85" i="5" s="1"/>
  <c r="AC85" i="5" a="1"/>
  <c r="AC85" i="5" s="1"/>
  <c r="AB85" i="5" a="1"/>
  <c r="AB85" i="5" s="1"/>
  <c r="AA85" i="5" a="1"/>
  <c r="AA85" i="5" s="1"/>
  <c r="Z85" i="5" a="1"/>
  <c r="Z85" i="5" s="1"/>
  <c r="Y85" i="5"/>
  <c r="Y85" i="5" a="1"/>
  <c r="X85" i="5" a="1"/>
  <c r="X85" i="5" s="1"/>
  <c r="W85" i="5" a="1"/>
  <c r="W85" i="5" s="1"/>
  <c r="V85" i="5" a="1"/>
  <c r="V85" i="5" s="1"/>
  <c r="AJ84" i="5" a="1"/>
  <c r="AJ84" i="5" s="1"/>
  <c r="AI84" i="5" a="1"/>
  <c r="AI84" i="5" s="1"/>
  <c r="AH84" i="5" a="1"/>
  <c r="AH84" i="5" s="1"/>
  <c r="AG84" i="5" a="1"/>
  <c r="AG84" i="5" s="1"/>
  <c r="AF84" i="5" a="1"/>
  <c r="AF84" i="5" s="1"/>
  <c r="AE84" i="5"/>
  <c r="AE84" i="5" a="1"/>
  <c r="AD84" i="5" a="1"/>
  <c r="AD84" i="5" s="1"/>
  <c r="AC84" i="5" a="1"/>
  <c r="AC84" i="5" s="1"/>
  <c r="AB84" i="5" a="1"/>
  <c r="AB84" i="5" s="1"/>
  <c r="AA84" i="5" a="1"/>
  <c r="AA84" i="5" s="1"/>
  <c r="Z84" i="5" a="1"/>
  <c r="Z84" i="5" s="1"/>
  <c r="Y84" i="5" a="1"/>
  <c r="Y84" i="5" s="1"/>
  <c r="X84" i="5" a="1"/>
  <c r="X84" i="5" s="1"/>
  <c r="W84" i="5"/>
  <c r="W84" i="5" a="1"/>
  <c r="V84" i="5" a="1"/>
  <c r="V84" i="5" s="1"/>
  <c r="AJ83" i="5" a="1"/>
  <c r="AJ83" i="5" s="1"/>
  <c r="AI83" i="5" a="1"/>
  <c r="AI83" i="5" s="1"/>
  <c r="AH83" i="5" a="1"/>
  <c r="AH83" i="5" s="1"/>
  <c r="AG83" i="5" a="1"/>
  <c r="AG83" i="5" s="1"/>
  <c r="AF83" i="5"/>
  <c r="AF83" i="5" a="1"/>
  <c r="AE83" i="5" a="1"/>
  <c r="AE83" i="5" s="1"/>
  <c r="AD83" i="5" a="1"/>
  <c r="AD83" i="5" s="1"/>
  <c r="AC83" i="5" a="1"/>
  <c r="AC83" i="5" s="1"/>
  <c r="AB83" i="5" a="1"/>
  <c r="AB83" i="5" s="1"/>
  <c r="AA83" i="5" a="1"/>
  <c r="AA83" i="5" s="1"/>
  <c r="Z83" i="5" a="1"/>
  <c r="Z83" i="5" s="1"/>
  <c r="Y83" i="5" a="1"/>
  <c r="Y83" i="5" s="1"/>
  <c r="X83" i="5"/>
  <c r="X83" i="5" a="1"/>
  <c r="W83" i="5" a="1"/>
  <c r="W83" i="5" s="1"/>
  <c r="V83" i="5" a="1"/>
  <c r="V83" i="5" s="1"/>
  <c r="AJ82" i="5" a="1"/>
  <c r="AJ82" i="5" s="1"/>
  <c r="AI82" i="5" a="1"/>
  <c r="AI82" i="5" s="1"/>
  <c r="AH82" i="5" a="1"/>
  <c r="AH82" i="5" s="1"/>
  <c r="AG82" i="5" a="1"/>
  <c r="AG82" i="5" s="1"/>
  <c r="AF82" i="5" a="1"/>
  <c r="AF82" i="5" s="1"/>
  <c r="AE82" i="5" a="1"/>
  <c r="AE82" i="5" s="1"/>
  <c r="AD82" i="5"/>
  <c r="AD82" i="5" a="1"/>
  <c r="AC82" i="5" a="1"/>
  <c r="AC82" i="5" s="1"/>
  <c r="AB82" i="5" a="1"/>
  <c r="AB82" i="5" s="1"/>
  <c r="AA82" i="5" a="1"/>
  <c r="AA82" i="5" s="1"/>
  <c r="Z82" i="5" a="1"/>
  <c r="Z82" i="5" s="1"/>
  <c r="Y82" i="5" a="1"/>
  <c r="Y82" i="5" s="1"/>
  <c r="X82" i="5" a="1"/>
  <c r="X82" i="5" s="1"/>
  <c r="W82" i="5"/>
  <c r="W82" i="5" a="1"/>
  <c r="V82" i="5" a="1"/>
  <c r="V82" i="5" s="1"/>
  <c r="AJ81" i="5" a="1"/>
  <c r="AJ81" i="5" s="1"/>
  <c r="AI81" i="5" a="1"/>
  <c r="AI81" i="5" s="1"/>
  <c r="AH81" i="5" a="1"/>
  <c r="AH81" i="5" s="1"/>
  <c r="AG81" i="5" a="1"/>
  <c r="AG81" i="5" s="1"/>
  <c r="AF81" i="5" a="1"/>
  <c r="AF81" i="5" s="1"/>
  <c r="AE81" i="5" a="1"/>
  <c r="AE81" i="5" s="1"/>
  <c r="AD81" i="5" a="1"/>
  <c r="AD81" i="5" s="1"/>
  <c r="AC81" i="5" a="1"/>
  <c r="AC81" i="5" s="1"/>
  <c r="AB81" i="5"/>
  <c r="AB81" i="5" a="1"/>
  <c r="AA81" i="5" a="1"/>
  <c r="AA81" i="5" s="1"/>
  <c r="Z81" i="5" a="1"/>
  <c r="Z81" i="5" s="1"/>
  <c r="Y81" i="5" a="1"/>
  <c r="Y81" i="5" s="1"/>
  <c r="X81" i="5" a="1"/>
  <c r="X81" i="5" s="1"/>
  <c r="W81" i="5" a="1"/>
  <c r="W81" i="5" s="1"/>
  <c r="V81" i="5" a="1"/>
  <c r="V81" i="5" s="1"/>
  <c r="AJ80" i="5"/>
  <c r="AJ80" i="5" a="1"/>
  <c r="AI80" i="5"/>
  <c r="AI80" i="5" a="1"/>
  <c r="AH80" i="5" a="1"/>
  <c r="AH80" i="5" s="1"/>
  <c r="AG80" i="5" a="1"/>
  <c r="AG80" i="5" s="1"/>
  <c r="AF80" i="5" a="1"/>
  <c r="AF80" i="5" s="1"/>
  <c r="AE80" i="5" a="1"/>
  <c r="AE80" i="5" s="1"/>
  <c r="AD80" i="5" a="1"/>
  <c r="AD80" i="5" s="1"/>
  <c r="AC80" i="5" a="1"/>
  <c r="AC80" i="5" s="1"/>
  <c r="AB80" i="5" a="1"/>
  <c r="AB80" i="5" s="1"/>
  <c r="AA80" i="5" a="1"/>
  <c r="AA80" i="5" s="1"/>
  <c r="Z80" i="5" a="1"/>
  <c r="Z80" i="5" s="1"/>
  <c r="Y80" i="5" a="1"/>
  <c r="Y80" i="5" s="1"/>
  <c r="X80" i="5"/>
  <c r="X80" i="5" a="1"/>
  <c r="W80" i="5"/>
  <c r="W80" i="5" a="1"/>
  <c r="V80" i="5" a="1"/>
  <c r="V80" i="5" s="1"/>
  <c r="AJ79" i="5"/>
  <c r="AJ79" i="5" a="1"/>
  <c r="AI79" i="5"/>
  <c r="AI79" i="5" a="1"/>
  <c r="AH79" i="5"/>
  <c r="AH79" i="5" a="1"/>
  <c r="AG79" i="5" a="1"/>
  <c r="AG79" i="5" s="1"/>
  <c r="AF79" i="5" a="1"/>
  <c r="AF79" i="5" s="1"/>
  <c r="AE79" i="5" a="1"/>
  <c r="AE79" i="5" s="1"/>
  <c r="AD79" i="5" a="1"/>
  <c r="AD79" i="5" s="1"/>
  <c r="AC79" i="5"/>
  <c r="AC79" i="5" a="1"/>
  <c r="AB79" i="5"/>
  <c r="AB79" i="5" a="1"/>
  <c r="AA79" i="5" a="1"/>
  <c r="AA79" i="5" s="1"/>
  <c r="Z79" i="5" a="1"/>
  <c r="Z79" i="5" s="1"/>
  <c r="Y79" i="5" a="1"/>
  <c r="Y79" i="5" s="1"/>
  <c r="X79" i="5" a="1"/>
  <c r="X79" i="5" s="1"/>
  <c r="W79" i="5"/>
  <c r="W79" i="5" a="1"/>
  <c r="V79" i="5"/>
  <c r="V79" i="5" a="1"/>
  <c r="AJ78" i="5" a="1"/>
  <c r="AJ78" i="5" s="1"/>
  <c r="AI78" i="5" a="1"/>
  <c r="AI78" i="5" s="1"/>
  <c r="AH78" i="5"/>
  <c r="AH78" i="5" a="1"/>
  <c r="AG78" i="5" a="1"/>
  <c r="AG78" i="5" s="1"/>
  <c r="AF78" i="5" a="1"/>
  <c r="AF78" i="5" s="1"/>
  <c r="AE78" i="5" a="1"/>
  <c r="AE78" i="5" s="1"/>
  <c r="AD78" i="5"/>
  <c r="AD78" i="5" a="1"/>
  <c r="AC78" i="5" a="1"/>
  <c r="AC78" i="5" s="1"/>
  <c r="AB78" i="5" a="1"/>
  <c r="AB78" i="5" s="1"/>
  <c r="AA78" i="5"/>
  <c r="AA78" i="5" a="1"/>
  <c r="Z78" i="5" a="1"/>
  <c r="Z78" i="5" s="1"/>
  <c r="Y78" i="5" a="1"/>
  <c r="Y78" i="5" s="1"/>
  <c r="X78" i="5" a="1"/>
  <c r="X78" i="5" s="1"/>
  <c r="W78" i="5" a="1"/>
  <c r="W78" i="5" s="1"/>
  <c r="V78" i="5" a="1"/>
  <c r="V78" i="5" s="1"/>
  <c r="AJ77" i="5"/>
  <c r="AJ77" i="5" a="1"/>
  <c r="AI77" i="5"/>
  <c r="AI77" i="5" a="1"/>
  <c r="AH77" i="5"/>
  <c r="AH77" i="5" a="1"/>
  <c r="AG77" i="5" a="1"/>
  <c r="AG77" i="5" s="1"/>
  <c r="AF77" i="5"/>
  <c r="AF77" i="5" a="1"/>
  <c r="AE77" i="5" a="1"/>
  <c r="AE77" i="5" s="1"/>
  <c r="AD77" i="5" a="1"/>
  <c r="AD77" i="5" s="1"/>
  <c r="AC77" i="5" a="1"/>
  <c r="AC77" i="5" s="1"/>
  <c r="AB77" i="5" a="1"/>
  <c r="AB77" i="5" s="1"/>
  <c r="AA77" i="5" a="1"/>
  <c r="AA77" i="5" s="1"/>
  <c r="Z77" i="5" a="1"/>
  <c r="Z77" i="5" s="1"/>
  <c r="Y77" i="5"/>
  <c r="Y77" i="5" a="1"/>
  <c r="X77" i="5" a="1"/>
  <c r="X77" i="5" s="1"/>
  <c r="W77" i="5" a="1"/>
  <c r="W77" i="5" s="1"/>
  <c r="V77" i="5" a="1"/>
  <c r="V77" i="5" s="1"/>
  <c r="AJ76" i="5" a="1"/>
  <c r="AJ76" i="5" s="1"/>
  <c r="AI76" i="5" a="1"/>
  <c r="AI76" i="5" s="1"/>
  <c r="AH76" i="5"/>
  <c r="AH76" i="5" a="1"/>
  <c r="AG76" i="5"/>
  <c r="AG76" i="5" a="1"/>
  <c r="AF76" i="5" a="1"/>
  <c r="AF76" i="5" s="1"/>
  <c r="AE76" i="5"/>
  <c r="AE76" i="5" a="1"/>
  <c r="AD76" i="5"/>
  <c r="AD76" i="5" a="1"/>
  <c r="AC76" i="5" a="1"/>
  <c r="AC76" i="5" s="1"/>
  <c r="AB76" i="5" a="1"/>
  <c r="AB76" i="5" s="1"/>
  <c r="AA76" i="5" a="1"/>
  <c r="AA76" i="5" s="1"/>
  <c r="Z76" i="5" a="1"/>
  <c r="Z76" i="5" s="1"/>
  <c r="Y76" i="5" a="1"/>
  <c r="Y76" i="5" s="1"/>
  <c r="X76" i="5" a="1"/>
  <c r="X76" i="5" s="1"/>
  <c r="W76" i="5" a="1"/>
  <c r="W76" i="5" s="1"/>
  <c r="V76" i="5"/>
  <c r="V76" i="5" a="1"/>
  <c r="AJ75" i="5" a="1"/>
  <c r="AJ75" i="5" s="1"/>
  <c r="AI75" i="5" a="1"/>
  <c r="AI75" i="5" s="1"/>
  <c r="AH75" i="5" a="1"/>
  <c r="AH75" i="5" s="1"/>
  <c r="AG75" i="5" a="1"/>
  <c r="AG75" i="5" s="1"/>
  <c r="AF75" i="5"/>
  <c r="AF75" i="5" a="1"/>
  <c r="AE75" i="5"/>
  <c r="AE75" i="5" a="1"/>
  <c r="AD75" i="5" a="1"/>
  <c r="AD75" i="5" s="1"/>
  <c r="AC75" i="5"/>
  <c r="AC75" i="5" a="1"/>
  <c r="AB75" i="5" a="1"/>
  <c r="AB75" i="5" s="1"/>
  <c r="AA75" i="5" a="1"/>
  <c r="AA75" i="5" s="1"/>
  <c r="Z75" i="5" a="1"/>
  <c r="Z75" i="5" s="1"/>
  <c r="Y75" i="5" a="1"/>
  <c r="Y75" i="5" s="1"/>
  <c r="X75" i="5"/>
  <c r="X75" i="5" a="1"/>
  <c r="W75" i="5" a="1"/>
  <c r="W75" i="5" s="1"/>
  <c r="V75" i="5" a="1"/>
  <c r="V75" i="5" s="1"/>
  <c r="AJ74" i="5"/>
  <c r="AJ74" i="5" a="1"/>
  <c r="AI74" i="5" a="1"/>
  <c r="AI74" i="5" s="1"/>
  <c r="AH74" i="5"/>
  <c r="AH74" i="5" a="1"/>
  <c r="AG74" i="5" a="1"/>
  <c r="AG74" i="5" s="1"/>
  <c r="AF74" i="5" a="1"/>
  <c r="AF74" i="5" s="1"/>
  <c r="AE74" i="5" a="1"/>
  <c r="AE74" i="5" s="1"/>
  <c r="AD74" i="5"/>
  <c r="AD74" i="5" a="1"/>
  <c r="AC74" i="5"/>
  <c r="AC74" i="5" a="1"/>
  <c r="AB74" i="5"/>
  <c r="AB74" i="5" a="1"/>
  <c r="AA74" i="5" a="1"/>
  <c r="AA74" i="5" s="1"/>
  <c r="Z74" i="5"/>
  <c r="Z74" i="5" a="1"/>
  <c r="Y74" i="5" a="1"/>
  <c r="Y74" i="5" s="1"/>
  <c r="X74" i="5" a="1"/>
  <c r="X74" i="5" s="1"/>
  <c r="W74" i="5" a="1"/>
  <c r="W74" i="5" s="1"/>
  <c r="V74" i="5" a="1"/>
  <c r="V74" i="5" s="1"/>
  <c r="AJ73" i="5" a="1"/>
  <c r="AJ73" i="5" s="1"/>
  <c r="AI73" i="5" a="1"/>
  <c r="AI73" i="5" s="1"/>
  <c r="AH73" i="5" a="1"/>
  <c r="AH73" i="5" s="1"/>
  <c r="AG73" i="5"/>
  <c r="AG73" i="5" a="1"/>
  <c r="AF73" i="5"/>
  <c r="AF73" i="5" a="1"/>
  <c r="AE73" i="5" a="1"/>
  <c r="AE73" i="5" s="1"/>
  <c r="AD73" i="5" a="1"/>
  <c r="AD73" i="5" s="1"/>
  <c r="AC73" i="5" a="1"/>
  <c r="AC73" i="5" s="1"/>
  <c r="AB73" i="5"/>
  <c r="AB73" i="5" a="1"/>
  <c r="AA73" i="5"/>
  <c r="AA73" i="5" a="1"/>
  <c r="Z73" i="5" a="1"/>
  <c r="Z73" i="5" s="1"/>
  <c r="Y73" i="5" a="1"/>
  <c r="Y73" i="5" s="1"/>
  <c r="X73" i="5"/>
  <c r="X73" i="5" a="1"/>
  <c r="W73" i="5" a="1"/>
  <c r="W73" i="5" s="1"/>
  <c r="V73" i="5" a="1"/>
  <c r="V73" i="5" s="1"/>
  <c r="AJ72" i="5" a="1"/>
  <c r="AJ72" i="5" s="1"/>
  <c r="AI72" i="5"/>
  <c r="AI72" i="5" a="1"/>
  <c r="AH72" i="5" a="1"/>
  <c r="AH72" i="5" s="1"/>
  <c r="AG72" i="5" a="1"/>
  <c r="AG72" i="5" s="1"/>
  <c r="AF72" i="5"/>
  <c r="AF72" i="5" a="1"/>
  <c r="AE72" i="5"/>
  <c r="AE72" i="5" a="1"/>
  <c r="AD72" i="5"/>
  <c r="AD72" i="5" a="1"/>
  <c r="AC72" i="5" a="1"/>
  <c r="AC72" i="5" s="1"/>
  <c r="AB72" i="5" a="1"/>
  <c r="AB72" i="5" s="1"/>
  <c r="AA72" i="5" a="1"/>
  <c r="AA72" i="5" s="1"/>
  <c r="Z72" i="5"/>
  <c r="Z72" i="5" a="1"/>
  <c r="Y72" i="5" a="1"/>
  <c r="Y72" i="5" s="1"/>
  <c r="X72" i="5" a="1"/>
  <c r="X72" i="5" s="1"/>
  <c r="W72" i="5"/>
  <c r="W72" i="5" a="1"/>
  <c r="V72" i="5"/>
  <c r="V72" i="5" a="1"/>
  <c r="AJ71" i="5" a="1"/>
  <c r="AJ71" i="5" s="1"/>
  <c r="AI71" i="5" a="1"/>
  <c r="AI71" i="5" s="1"/>
  <c r="AH71" i="5" a="1"/>
  <c r="AH71" i="5" s="1"/>
  <c r="AG71" i="5" a="1"/>
  <c r="AG71" i="5" s="1"/>
  <c r="AF71" i="5" a="1"/>
  <c r="AF71" i="5" s="1"/>
  <c r="AE71" i="5"/>
  <c r="AE71" i="5" a="1"/>
  <c r="AD71" i="5" a="1"/>
  <c r="AD71" i="5" s="1"/>
  <c r="AC71" i="5"/>
  <c r="AC71" i="5" a="1"/>
  <c r="AB71" i="5"/>
  <c r="AB71" i="5" a="1"/>
  <c r="AA71" i="5" a="1"/>
  <c r="AA71" i="5" s="1"/>
  <c r="Z71" i="5" a="1"/>
  <c r="Z71" i="5" s="1"/>
  <c r="Y71" i="5" a="1"/>
  <c r="Y71" i="5" s="1"/>
  <c r="X71" i="5" a="1"/>
  <c r="X71" i="5" s="1"/>
  <c r="W71" i="5" a="1"/>
  <c r="W71" i="5" s="1"/>
  <c r="V71" i="5" a="1"/>
  <c r="V71" i="5" s="1"/>
  <c r="AJ70" i="5" a="1"/>
  <c r="AJ70" i="5" s="1"/>
  <c r="AI70" i="5"/>
  <c r="AI70" i="5" a="1"/>
  <c r="AH70" i="5" a="1"/>
  <c r="AH70" i="5" s="1"/>
  <c r="AG70" i="5" a="1"/>
  <c r="AG70" i="5" s="1"/>
  <c r="AF70" i="5" a="1"/>
  <c r="AF70" i="5" s="1"/>
  <c r="AE70" i="5" a="1"/>
  <c r="AE70" i="5" s="1"/>
  <c r="AD70" i="5"/>
  <c r="AD70" i="5" a="1"/>
  <c r="AC70" i="5"/>
  <c r="AC70" i="5" a="1"/>
  <c r="AB70" i="5" a="1"/>
  <c r="AB70" i="5" s="1"/>
  <c r="AA70" i="5"/>
  <c r="AA70" i="5" a="1"/>
  <c r="Z70" i="5"/>
  <c r="Z70" i="5" a="1"/>
  <c r="Y70" i="5" a="1"/>
  <c r="Y70" i="5" s="1"/>
  <c r="X70" i="5" a="1"/>
  <c r="X70" i="5" s="1"/>
  <c r="W70" i="5" a="1"/>
  <c r="W70" i="5" s="1"/>
  <c r="V70" i="5" a="1"/>
  <c r="V70" i="5" s="1"/>
  <c r="AJ69" i="5" a="1"/>
  <c r="AJ69" i="5" s="1"/>
  <c r="AI69" i="5" a="1"/>
  <c r="AI69" i="5" s="1"/>
  <c r="AH69" i="5" a="1"/>
  <c r="AH69" i="5" s="1"/>
  <c r="AG69" i="5"/>
  <c r="AG69" i="5" a="1"/>
  <c r="AF69" i="5" a="1"/>
  <c r="AF69" i="5" s="1"/>
  <c r="AE69" i="5" a="1"/>
  <c r="AE69" i="5" s="1"/>
  <c r="AD69" i="5" a="1"/>
  <c r="AD69" i="5" s="1"/>
  <c r="AC69" i="5" a="1"/>
  <c r="AC69" i="5" s="1"/>
  <c r="AB69" i="5"/>
  <c r="AB69" i="5" a="1"/>
  <c r="AA69" i="5"/>
  <c r="AA69" i="5" a="1"/>
  <c r="Z69" i="5" a="1"/>
  <c r="Z69" i="5" s="1"/>
  <c r="Y69" i="5"/>
  <c r="Y69" i="5" a="1"/>
  <c r="X69" i="5"/>
  <c r="X69" i="5" a="1"/>
  <c r="W69" i="5" a="1"/>
  <c r="W69" i="5" s="1"/>
  <c r="V69" i="5" a="1"/>
  <c r="V69" i="5" s="1"/>
  <c r="AJ68" i="5" a="1"/>
  <c r="AJ68" i="5" s="1"/>
  <c r="AI68" i="5"/>
  <c r="AI68" i="5" a="1"/>
  <c r="AH68" i="5" a="1"/>
  <c r="AH68" i="5" s="1"/>
  <c r="AG68" i="5" a="1"/>
  <c r="AG68" i="5" s="1"/>
  <c r="AF68" i="5"/>
  <c r="AF68" i="5" a="1"/>
  <c r="AE68" i="5" a="1"/>
  <c r="AE68" i="5" s="1"/>
  <c r="AD68" i="5" a="1"/>
  <c r="AD68" i="5" s="1"/>
  <c r="AC68" i="5" a="1"/>
  <c r="AC68" i="5" s="1"/>
  <c r="AB68" i="5" a="1"/>
  <c r="AB68" i="5" s="1"/>
  <c r="AA68" i="5" a="1"/>
  <c r="AA68" i="5" s="1"/>
  <c r="Z68" i="5"/>
  <c r="Z68" i="5" a="1"/>
  <c r="Y68" i="5"/>
  <c r="Y68" i="5" a="1"/>
  <c r="X68" i="5"/>
  <c r="X68" i="5" a="1"/>
  <c r="W68" i="5" a="1"/>
  <c r="W68" i="5" s="1"/>
  <c r="V68" i="5"/>
  <c r="V68" i="5" a="1"/>
  <c r="AJ67" i="5" a="1"/>
  <c r="AJ67" i="5" s="1"/>
  <c r="AI67" i="5" a="1"/>
  <c r="AI67" i="5" s="1"/>
  <c r="AH67" i="5" a="1"/>
  <c r="AH67" i="5" s="1"/>
  <c r="AG67" i="5"/>
  <c r="AG67" i="5" a="1"/>
  <c r="AF67" i="5" a="1"/>
  <c r="AF67" i="5" s="1"/>
  <c r="AE67" i="5" a="1"/>
  <c r="AE67" i="5" s="1"/>
  <c r="AD67" i="5"/>
  <c r="AD67" i="5" a="1"/>
  <c r="AC67" i="5"/>
  <c r="AC67" i="5" a="1"/>
  <c r="AB67" i="5" a="1"/>
  <c r="AB67" i="5" s="1"/>
  <c r="AA67" i="5" a="1"/>
  <c r="AA67" i="5" s="1"/>
  <c r="Z67" i="5" a="1"/>
  <c r="Z67" i="5" s="1"/>
  <c r="Y67" i="5" a="1"/>
  <c r="Y67" i="5" s="1"/>
  <c r="X67" i="5"/>
  <c r="X67" i="5" a="1"/>
  <c r="W67" i="5"/>
  <c r="W67" i="5" a="1"/>
  <c r="V67" i="5"/>
  <c r="V67" i="5" a="1"/>
  <c r="AJ66" i="5" a="1"/>
  <c r="AJ66" i="5" s="1"/>
  <c r="AI66" i="5" a="1"/>
  <c r="AI66" i="5" s="1"/>
  <c r="AH66" i="5" a="1"/>
  <c r="AH66" i="5" s="1"/>
  <c r="AG66" i="5" a="1"/>
  <c r="AG66" i="5" s="1"/>
  <c r="AF66" i="5" a="1"/>
  <c r="AF66" i="5" s="1"/>
  <c r="AE66" i="5" a="1"/>
  <c r="AE66" i="5" s="1"/>
  <c r="AD66" i="5" a="1"/>
  <c r="AD66" i="5" s="1"/>
  <c r="AC66" i="5" a="1"/>
  <c r="AC66" i="5" s="1"/>
  <c r="AB66" i="5" a="1"/>
  <c r="AB66" i="5" s="1"/>
  <c r="AA66" i="5" a="1"/>
  <c r="AA66" i="5" s="1"/>
  <c r="Z66" i="5"/>
  <c r="Z66" i="5" a="1"/>
  <c r="Y66" i="5" a="1"/>
  <c r="Y66" i="5" s="1"/>
  <c r="X66" i="5" a="1"/>
  <c r="X66" i="5" s="1"/>
  <c r="W66" i="5" a="1"/>
  <c r="W66" i="5" s="1"/>
  <c r="V66" i="5"/>
  <c r="V66" i="5" a="1"/>
  <c r="AJ65" i="5"/>
  <c r="AJ65" i="5" a="1"/>
  <c r="AI65" i="5" a="1"/>
  <c r="AI65" i="5" s="1"/>
  <c r="AH65" i="5" a="1"/>
  <c r="AH65" i="5" s="1"/>
  <c r="AG65" i="5"/>
  <c r="AG65" i="5" a="1"/>
  <c r="AF65" i="5" a="1"/>
  <c r="AF65" i="5" s="1"/>
  <c r="AE65" i="5" a="1"/>
  <c r="AE65" i="5" s="1"/>
  <c r="AD65" i="5" a="1"/>
  <c r="AD65" i="5" s="1"/>
  <c r="AC65" i="5"/>
  <c r="AC65" i="5" a="1"/>
  <c r="AB65" i="5" a="1"/>
  <c r="AB65" i="5" s="1"/>
  <c r="AA65" i="5" a="1"/>
  <c r="AA65" i="5" s="1"/>
  <c r="Z65" i="5" a="1"/>
  <c r="Z65" i="5" s="1"/>
  <c r="Y65" i="5" a="1"/>
  <c r="Y65" i="5" s="1"/>
  <c r="X65" i="5"/>
  <c r="X65" i="5" a="1"/>
  <c r="W65" i="5" a="1"/>
  <c r="W65" i="5" s="1"/>
  <c r="V65" i="5" a="1"/>
  <c r="V65" i="5" s="1"/>
  <c r="AJ64" i="5" a="1"/>
  <c r="AJ64" i="5" s="1"/>
  <c r="AI64" i="5"/>
  <c r="AI64" i="5" a="1"/>
  <c r="AH64" i="5"/>
  <c r="AH64" i="5" a="1"/>
  <c r="AG64" i="5" a="1"/>
  <c r="AG64" i="5" s="1"/>
  <c r="AF64" i="5"/>
  <c r="AF64" i="5" a="1"/>
  <c r="AE64" i="5"/>
  <c r="AE64" i="5" a="1"/>
  <c r="AD64" i="5" a="1"/>
  <c r="AD64" i="5" s="1"/>
  <c r="AC64" i="5" a="1"/>
  <c r="AC64" i="5" s="1"/>
  <c r="AB64" i="5" a="1"/>
  <c r="AB64" i="5" s="1"/>
  <c r="AA64" i="5" a="1"/>
  <c r="AA64" i="5" s="1"/>
  <c r="Z64" i="5" a="1"/>
  <c r="Z64" i="5" s="1"/>
  <c r="Y64" i="5" a="1"/>
  <c r="Y64" i="5" s="1"/>
  <c r="X64" i="5" a="1"/>
  <c r="X64" i="5" s="1"/>
  <c r="W64" i="5" a="1"/>
  <c r="W64" i="5" s="1"/>
  <c r="V64" i="5"/>
  <c r="V64" i="5" a="1"/>
  <c r="AJ63" i="5" a="1"/>
  <c r="AJ63" i="5" s="1"/>
  <c r="AI63" i="5" a="1"/>
  <c r="AI63" i="5" s="1"/>
  <c r="AH63" i="5" a="1"/>
  <c r="AH63" i="5" s="1"/>
  <c r="AG63" i="5"/>
  <c r="AG63" i="5" a="1"/>
  <c r="AF63" i="5" a="1"/>
  <c r="AF63" i="5" s="1"/>
  <c r="AE63" i="5" a="1"/>
  <c r="AE63" i="5" s="1"/>
  <c r="AD63" i="5" a="1"/>
  <c r="AD63" i="5" s="1"/>
  <c r="AC63" i="5"/>
  <c r="AC63" i="5" a="1"/>
  <c r="AB63" i="5" a="1"/>
  <c r="AB63" i="5" s="1"/>
  <c r="AA63" i="5" a="1"/>
  <c r="AA63" i="5" s="1"/>
  <c r="Z63" i="5" a="1"/>
  <c r="Z63" i="5" s="1"/>
  <c r="Y63" i="5"/>
  <c r="Y63" i="5" a="1"/>
  <c r="X63" i="5" a="1"/>
  <c r="X63" i="5" s="1"/>
  <c r="W63" i="5"/>
  <c r="W63" i="5" a="1"/>
  <c r="V63" i="5" a="1"/>
  <c r="V63" i="5" s="1"/>
  <c r="AJ62" i="5" a="1"/>
  <c r="AJ62" i="5" s="1"/>
  <c r="AI62" i="5"/>
  <c r="AI62" i="5" a="1"/>
  <c r="AH62" i="5" a="1"/>
  <c r="AH62" i="5" s="1"/>
  <c r="AG62" i="5" a="1"/>
  <c r="AG62" i="5" s="1"/>
  <c r="AF62" i="5" a="1"/>
  <c r="AF62" i="5" s="1"/>
  <c r="AE62" i="5" a="1"/>
  <c r="AE62" i="5" s="1"/>
  <c r="AD62" i="5" a="1"/>
  <c r="AD62" i="5" s="1"/>
  <c r="AC62" i="5" a="1"/>
  <c r="AC62" i="5" s="1"/>
  <c r="AB62" i="5"/>
  <c r="AB62" i="5" a="1"/>
  <c r="AA62" i="5"/>
  <c r="AA62" i="5" a="1"/>
  <c r="Z62" i="5" a="1"/>
  <c r="Z62" i="5" s="1"/>
  <c r="Y62" i="5" a="1"/>
  <c r="Y62" i="5" s="1"/>
  <c r="X62" i="5" a="1"/>
  <c r="X62" i="5" s="1"/>
  <c r="W62" i="5" a="1"/>
  <c r="W62" i="5" s="1"/>
  <c r="V62" i="5"/>
  <c r="V62" i="5" a="1"/>
  <c r="AJ61" i="5"/>
  <c r="AJ61" i="5" a="1"/>
  <c r="AI61" i="5"/>
  <c r="AI61" i="5" a="1"/>
  <c r="AH61" i="5" a="1"/>
  <c r="AH61" i="5" s="1"/>
  <c r="AG61" i="5"/>
  <c r="AG61" i="5" a="1"/>
  <c r="AF61" i="5" a="1"/>
  <c r="AF61" i="5" s="1"/>
  <c r="AE61" i="5" a="1"/>
  <c r="AE61" i="5" s="1"/>
  <c r="AD61" i="5" a="1"/>
  <c r="AD61" i="5" s="1"/>
  <c r="AC61" i="5"/>
  <c r="AC61" i="5" a="1"/>
  <c r="AB61" i="5"/>
  <c r="AB61" i="5" a="1"/>
  <c r="AA61" i="5"/>
  <c r="AA61" i="5" a="1"/>
  <c r="Z61" i="5" a="1"/>
  <c r="Z61" i="5" s="1"/>
  <c r="Y61" i="5"/>
  <c r="Y61" i="5" a="1"/>
  <c r="X61" i="5" a="1"/>
  <c r="X61" i="5" s="1"/>
  <c r="W61" i="5" a="1"/>
  <c r="W61" i="5" s="1"/>
  <c r="V61" i="5" a="1"/>
  <c r="V61" i="5" s="1"/>
  <c r="AJ60" i="5"/>
  <c r="AJ60" i="5" a="1"/>
  <c r="AI60" i="5"/>
  <c r="AI60" i="5" a="1"/>
  <c r="AH60" i="5" a="1"/>
  <c r="AH60" i="5" s="1"/>
  <c r="AG60" i="5" a="1"/>
  <c r="AG60" i="5" s="1"/>
  <c r="AF60" i="5"/>
  <c r="AF60" i="5" a="1"/>
  <c r="AE60" i="5" a="1"/>
  <c r="AE60" i="5" s="1"/>
  <c r="AD60" i="5" a="1"/>
  <c r="AD60" i="5" s="1"/>
  <c r="AC60" i="5" a="1"/>
  <c r="AC60" i="5" s="1"/>
  <c r="AB60" i="5"/>
  <c r="AB60" i="5" a="1"/>
  <c r="AA60" i="5"/>
  <c r="AA60" i="5" a="1"/>
  <c r="Z60" i="5"/>
  <c r="Z60" i="5" a="1"/>
  <c r="Y60" i="5"/>
  <c r="Y60" i="5" a="1"/>
  <c r="X60" i="5"/>
  <c r="X60" i="5" a="1"/>
  <c r="W60" i="5" a="1"/>
  <c r="W60" i="5" s="1"/>
  <c r="V60" i="5" a="1"/>
  <c r="V60" i="5" s="1"/>
  <c r="AJ59" i="5" a="1"/>
  <c r="AJ59" i="5" s="1"/>
  <c r="AI59" i="5"/>
  <c r="AI59" i="5" a="1"/>
  <c r="AH59" i="5"/>
  <c r="AH59" i="5" a="1"/>
  <c r="AG59" i="5"/>
  <c r="AG59" i="5" a="1"/>
  <c r="AF59" i="5"/>
  <c r="AF59" i="5" a="1"/>
  <c r="AE59" i="5"/>
  <c r="AE59" i="5" a="1"/>
  <c r="AD59" i="5" a="1"/>
  <c r="AD59" i="5" s="1"/>
  <c r="AC59" i="5" a="1"/>
  <c r="AC59" i="5" s="1"/>
  <c r="AB59" i="5" a="1"/>
  <c r="AB59" i="5" s="1"/>
  <c r="AA59" i="5"/>
  <c r="AA59" i="5" a="1"/>
  <c r="Z59" i="5"/>
  <c r="Z59" i="5" a="1"/>
  <c r="Y59" i="5" a="1"/>
  <c r="Y59" i="5" s="1"/>
  <c r="X59" i="5"/>
  <c r="X59" i="5" a="1"/>
  <c r="W59" i="5"/>
  <c r="W59" i="5" a="1"/>
  <c r="V59" i="5" a="1"/>
  <c r="V59" i="5" s="1"/>
  <c r="AJ58" i="5" a="1"/>
  <c r="AJ58" i="5" s="1"/>
  <c r="AI58" i="5" a="1"/>
  <c r="AI58" i="5" s="1"/>
  <c r="AH58" i="5"/>
  <c r="AH58" i="5" a="1"/>
  <c r="AG58" i="5"/>
  <c r="AG58" i="5" a="1"/>
  <c r="AF58" i="5"/>
  <c r="AF58" i="5" a="1"/>
  <c r="AE58" i="5" a="1"/>
  <c r="AE58" i="5" s="1"/>
  <c r="AD58" i="5"/>
  <c r="AD58" i="5" a="1"/>
  <c r="AC58" i="5" a="1"/>
  <c r="AC58" i="5" s="1"/>
  <c r="AB58" i="5" a="1"/>
  <c r="AB58" i="5" s="1"/>
  <c r="AA58" i="5" a="1"/>
  <c r="AA58" i="5" s="1"/>
  <c r="Z58" i="5"/>
  <c r="Z58" i="5" a="1"/>
  <c r="Y58" i="5"/>
  <c r="Y58" i="5" a="1"/>
  <c r="X58" i="5" a="1"/>
  <c r="X58" i="5" s="1"/>
  <c r="W58" i="5"/>
  <c r="W58" i="5" a="1"/>
  <c r="V58" i="5"/>
  <c r="V58" i="5" a="1"/>
  <c r="AJ57" i="5" a="1"/>
  <c r="AJ57" i="5" s="1"/>
  <c r="AI57" i="5" a="1"/>
  <c r="AI57" i="5" s="1"/>
  <c r="AH57" i="5" a="1"/>
  <c r="AH57" i="5" s="1"/>
  <c r="AG57" i="5"/>
  <c r="AG57" i="5" a="1"/>
  <c r="AF57" i="5"/>
  <c r="AF57" i="5" a="1"/>
  <c r="AE57" i="5" a="1"/>
  <c r="AE57" i="5" s="1"/>
  <c r="AD57" i="5" a="1"/>
  <c r="AD57" i="5" s="1"/>
  <c r="AC57" i="5"/>
  <c r="AC57" i="5" a="1"/>
  <c r="AB57" i="5" a="1"/>
  <c r="AB57" i="5" s="1"/>
  <c r="AA57" i="5" a="1"/>
  <c r="AA57" i="5" s="1"/>
  <c r="Z57" i="5" a="1"/>
  <c r="Z57" i="5" s="1"/>
  <c r="Y57" i="5"/>
  <c r="Y57" i="5" a="1"/>
  <c r="X57" i="5"/>
  <c r="X57" i="5" a="1"/>
  <c r="W57" i="5" a="1"/>
  <c r="W57" i="5" s="1"/>
  <c r="V57" i="5"/>
  <c r="V57" i="5" a="1"/>
  <c r="AJ56" i="5"/>
  <c r="AJ56" i="5" a="1"/>
  <c r="AI56" i="5" a="1"/>
  <c r="AI56" i="5" s="1"/>
  <c r="AH56" i="5" a="1"/>
  <c r="AH56" i="5" s="1"/>
  <c r="AG56" i="5" a="1"/>
  <c r="AG56" i="5" s="1"/>
  <c r="AF56" i="5"/>
  <c r="AF56" i="5" a="1"/>
  <c r="AE56" i="5"/>
  <c r="AE56" i="5" a="1"/>
  <c r="AD56" i="5" a="1"/>
  <c r="AD56" i="5" s="1"/>
  <c r="AC56" i="5"/>
  <c r="AC56" i="5" a="1"/>
  <c r="AB56" i="5"/>
  <c r="AB56" i="5" a="1"/>
  <c r="AA56" i="5" a="1"/>
  <c r="AA56" i="5" s="1"/>
  <c r="Z56" i="5" a="1"/>
  <c r="Z56" i="5" s="1"/>
  <c r="Y56" i="5" a="1"/>
  <c r="Y56" i="5" s="1"/>
  <c r="X56" i="5"/>
  <c r="X56" i="5" a="1"/>
  <c r="W56" i="5"/>
  <c r="W56" i="5" a="1"/>
  <c r="V56" i="5" a="1"/>
  <c r="V56" i="5" s="1"/>
  <c r="AJ55" i="5" a="1"/>
  <c r="AJ55" i="5" s="1"/>
  <c r="AI55" i="5"/>
  <c r="AI55" i="5" a="1"/>
  <c r="AH55" i="5" a="1"/>
  <c r="AH55" i="5" s="1"/>
  <c r="AG55" i="5" a="1"/>
  <c r="AG55" i="5" s="1"/>
  <c r="AF55" i="5" a="1"/>
  <c r="AF55" i="5" s="1"/>
  <c r="AE55" i="5"/>
  <c r="AE55" i="5" a="1"/>
  <c r="AD55" i="5"/>
  <c r="AD55" i="5" a="1"/>
  <c r="AC55" i="5" a="1"/>
  <c r="AC55" i="5" s="1"/>
  <c r="AB55" i="5"/>
  <c r="AB55" i="5" a="1"/>
  <c r="AA55" i="5"/>
  <c r="AA55" i="5" a="1"/>
  <c r="Z55" i="5" a="1"/>
  <c r="Z55" i="5" s="1"/>
  <c r="Y55" i="5" a="1"/>
  <c r="Y55" i="5" s="1"/>
  <c r="X55" i="5" a="1"/>
  <c r="X55" i="5" s="1"/>
  <c r="W55" i="5"/>
  <c r="W55" i="5" a="1"/>
  <c r="V55" i="5"/>
  <c r="V55" i="5" a="1"/>
  <c r="AJ54" i="5"/>
  <c r="AJ54" i="5" a="1"/>
  <c r="AI54" i="5" a="1"/>
  <c r="AI54" i="5" s="1"/>
  <c r="AH54" i="5"/>
  <c r="AH54" i="5" a="1"/>
  <c r="AG54" i="5" a="1"/>
  <c r="AG54" i="5" s="1"/>
  <c r="AF54" i="5" a="1"/>
  <c r="AF54" i="5" s="1"/>
  <c r="AE54" i="5" a="1"/>
  <c r="AE54" i="5" s="1"/>
  <c r="AD54" i="5"/>
  <c r="AD54" i="5" a="1"/>
  <c r="AC54" i="5"/>
  <c r="AC54" i="5" a="1"/>
  <c r="AB54" i="5"/>
  <c r="AB54" i="5" a="1"/>
  <c r="AA54" i="5" a="1"/>
  <c r="AA54" i="5" s="1"/>
  <c r="Z54" i="5"/>
  <c r="Z54" i="5" a="1"/>
  <c r="Y54" i="5" a="1"/>
  <c r="Y54" i="5" s="1"/>
  <c r="X54" i="5" a="1"/>
  <c r="X54" i="5" s="1"/>
  <c r="W54" i="5" a="1"/>
  <c r="W54" i="5" s="1"/>
  <c r="V54" i="5"/>
  <c r="V54" i="5" a="1"/>
  <c r="AJ53" i="5"/>
  <c r="AJ53" i="5" a="1"/>
  <c r="AI53" i="5"/>
  <c r="AI53" i="5" a="1"/>
  <c r="AH53" i="5" a="1"/>
  <c r="AH53" i="5" s="1"/>
  <c r="AG53" i="5"/>
  <c r="AG53" i="5" a="1"/>
  <c r="AF53" i="5" a="1"/>
  <c r="AF53" i="5" s="1"/>
  <c r="AE53" i="5" a="1"/>
  <c r="AE53" i="5" s="1"/>
  <c r="AD53" i="5" a="1"/>
  <c r="AD53" i="5" s="1"/>
  <c r="AC53" i="5"/>
  <c r="AC53" i="5" a="1"/>
  <c r="AB53" i="5"/>
  <c r="AB53" i="5" a="1"/>
  <c r="AA53" i="5" a="1"/>
  <c r="AA53" i="5" s="1"/>
  <c r="Z53" i="5"/>
  <c r="Z53" i="5" a="1"/>
  <c r="Y53" i="5"/>
  <c r="Y53" i="5" a="1"/>
  <c r="X53" i="5" a="1"/>
  <c r="X53" i="5" s="1"/>
  <c r="W53" i="5" a="1"/>
  <c r="W53" i="5" s="1"/>
  <c r="V53" i="5" a="1"/>
  <c r="V53" i="5" s="1"/>
  <c r="AJ52" i="5"/>
  <c r="AJ52" i="5" a="1"/>
  <c r="AI52" i="5"/>
  <c r="AI52" i="5" a="1"/>
  <c r="AH52" i="5"/>
  <c r="AH52" i="5" a="1"/>
  <c r="AG52" i="5" a="1"/>
  <c r="AG52" i="5" s="1"/>
  <c r="AF52" i="5"/>
  <c r="AF52" i="5" a="1"/>
  <c r="AE52" i="5" a="1"/>
  <c r="AE52" i="5" s="1"/>
  <c r="AD52" i="5" a="1"/>
  <c r="AD52" i="5" s="1"/>
  <c r="AC52" i="5" a="1"/>
  <c r="AC52" i="5" s="1"/>
  <c r="AB52" i="5"/>
  <c r="AB52" i="5" a="1"/>
  <c r="AA52" i="5"/>
  <c r="AA52" i="5" a="1"/>
  <c r="Z52" i="5" a="1"/>
  <c r="Z52" i="5" s="1"/>
  <c r="Y52" i="5"/>
  <c r="Y52" i="5" a="1"/>
  <c r="X52" i="5"/>
  <c r="X52" i="5" a="1"/>
  <c r="W52" i="5" a="1"/>
  <c r="W52" i="5" s="1"/>
  <c r="V52" i="5" a="1"/>
  <c r="V52" i="5" s="1"/>
  <c r="AJ51" i="5" a="1"/>
  <c r="AJ51" i="5" s="1"/>
  <c r="AI51" i="5"/>
  <c r="AI51" i="5" a="1"/>
  <c r="AH51" i="5"/>
  <c r="AH51" i="5" a="1"/>
  <c r="AG51" i="5"/>
  <c r="AG51" i="5" a="1"/>
  <c r="AF51" i="5"/>
  <c r="AF51" i="5" a="1"/>
  <c r="AE51" i="5"/>
  <c r="AE51" i="5" a="1"/>
  <c r="AD51" i="5" a="1"/>
  <c r="AD51" i="5" s="1"/>
  <c r="AC51" i="5" a="1"/>
  <c r="AC51" i="5" s="1"/>
  <c r="AB51" i="5" a="1"/>
  <c r="AB51" i="5" s="1"/>
  <c r="AA51" i="5" a="1"/>
  <c r="AA51" i="5" s="1"/>
  <c r="Z51" i="5"/>
  <c r="Z51" i="5" a="1"/>
  <c r="Y51" i="5" a="1"/>
  <c r="Y51" i="5" s="1"/>
  <c r="X51" i="5"/>
  <c r="X51" i="5" a="1"/>
  <c r="W51" i="5"/>
  <c r="W51" i="5" a="1"/>
  <c r="V51" i="5" a="1"/>
  <c r="V51" i="5" s="1"/>
  <c r="AJ50" i="5" a="1"/>
  <c r="AJ50" i="5" s="1"/>
  <c r="AI50" i="5" a="1"/>
  <c r="AI50" i="5" s="1"/>
  <c r="AH50" i="5"/>
  <c r="AH50" i="5" a="1"/>
  <c r="AG50" i="5"/>
  <c r="AG50" i="5" a="1"/>
  <c r="AF50" i="5" a="1"/>
  <c r="AF50" i="5" s="1"/>
  <c r="AE50" i="5"/>
  <c r="AE50" i="5" a="1"/>
  <c r="AD50" i="5"/>
  <c r="AD50" i="5" a="1"/>
  <c r="AC50" i="5" a="1"/>
  <c r="AC50" i="5" s="1"/>
  <c r="AB50" i="5" a="1"/>
  <c r="AB50" i="5" s="1"/>
  <c r="AA50" i="5" a="1"/>
  <c r="AA50" i="5" s="1"/>
  <c r="Z50" i="5" a="1"/>
  <c r="Z50" i="5" s="1"/>
  <c r="Y50" i="5"/>
  <c r="Y50" i="5" a="1"/>
  <c r="X50" i="5"/>
  <c r="X50" i="5" a="1"/>
  <c r="W50" i="5" a="1"/>
  <c r="W50" i="5" s="1"/>
  <c r="V50" i="5"/>
  <c r="V50" i="5" a="1"/>
  <c r="AJ49" i="5" a="1"/>
  <c r="AJ49" i="5" s="1"/>
  <c r="AI49" i="5" a="1"/>
  <c r="AI49" i="5" s="1"/>
  <c r="AH49" i="5" a="1"/>
  <c r="AH49" i="5" s="1"/>
  <c r="AG49" i="5"/>
  <c r="AG49" i="5" a="1"/>
  <c r="AF49" i="5"/>
  <c r="AF49" i="5" a="1"/>
  <c r="AE49" i="5" a="1"/>
  <c r="AE49" i="5" s="1"/>
  <c r="AD49" i="5"/>
  <c r="AD49" i="5" a="1"/>
  <c r="AC49" i="5"/>
  <c r="AC49" i="5" a="1"/>
  <c r="AB49" i="5" a="1"/>
  <c r="AB49" i="5" s="1"/>
  <c r="AA49" i="5" a="1"/>
  <c r="AA49" i="5" s="1"/>
  <c r="Z49" i="5" a="1"/>
  <c r="Z49" i="5" s="1"/>
  <c r="Y49" i="5" a="1"/>
  <c r="Y49" i="5" s="1"/>
  <c r="X49" i="5"/>
  <c r="X49" i="5" a="1"/>
  <c r="W49" i="5" a="1"/>
  <c r="W49" i="5" s="1"/>
  <c r="V49" i="5" a="1"/>
  <c r="V49" i="5" s="1"/>
  <c r="AJ48" i="5"/>
  <c r="AJ48" i="5" a="1"/>
  <c r="AI48" i="5" a="1"/>
  <c r="AI48" i="5" s="1"/>
  <c r="AH48" i="5" a="1"/>
  <c r="AH48" i="5" s="1"/>
  <c r="AG48" i="5" a="1"/>
  <c r="AG48" i="5" s="1"/>
  <c r="AF48" i="5" a="1"/>
  <c r="AF48" i="5" s="1"/>
  <c r="AE48" i="5"/>
  <c r="AE48" i="5" a="1"/>
  <c r="AD48" i="5" a="1"/>
  <c r="AD48" i="5" s="1"/>
  <c r="AC48" i="5"/>
  <c r="AC48" i="5" a="1"/>
  <c r="AB48" i="5"/>
  <c r="AB48" i="5" a="1"/>
  <c r="AA48" i="5" a="1"/>
  <c r="AA48" i="5" s="1"/>
  <c r="Z48" i="5" a="1"/>
  <c r="Z48" i="5" s="1"/>
  <c r="Y48" i="5" a="1"/>
  <c r="Y48" i="5" s="1"/>
  <c r="X48" i="5"/>
  <c r="X48" i="5" a="1"/>
  <c r="W48" i="5"/>
  <c r="W48" i="5" a="1"/>
  <c r="V48" i="5" a="1"/>
  <c r="V48" i="5" s="1"/>
  <c r="AJ47" i="5" a="1"/>
  <c r="AJ47" i="5" s="1"/>
  <c r="AI47" i="5"/>
  <c r="AI47" i="5" a="1"/>
  <c r="AH47" i="5" a="1"/>
  <c r="AH47" i="5" s="1"/>
  <c r="AG47" i="5" a="1"/>
  <c r="AG47" i="5" s="1"/>
  <c r="AF47" i="5" a="1"/>
  <c r="AF47" i="5" s="1"/>
  <c r="AE47" i="5" a="1"/>
  <c r="AE47" i="5" s="1"/>
  <c r="AD47" i="5"/>
  <c r="AD47" i="5" a="1"/>
  <c r="AC47" i="5" a="1"/>
  <c r="AC47" i="5" s="1"/>
  <c r="AB47" i="5" a="1"/>
  <c r="AB47" i="5" s="1"/>
  <c r="AA47" i="5"/>
  <c r="AA47" i="5" a="1"/>
  <c r="Z47" i="5" a="1"/>
  <c r="Z47" i="5" s="1"/>
  <c r="Y47" i="5" a="1"/>
  <c r="Y47" i="5" s="1"/>
  <c r="X47" i="5" a="1"/>
  <c r="X47" i="5" s="1"/>
  <c r="W47" i="5" a="1"/>
  <c r="W47" i="5" s="1"/>
  <c r="V47" i="5"/>
  <c r="V47" i="5" a="1"/>
  <c r="AJ46" i="5" a="1"/>
  <c r="AJ46" i="5" s="1"/>
  <c r="AI46" i="5"/>
  <c r="AI46" i="5" a="1"/>
  <c r="AH46" i="5"/>
  <c r="AH46" i="5" a="1"/>
  <c r="AG46" i="5" a="1"/>
  <c r="AG46" i="5" s="1"/>
  <c r="AF46" i="5" a="1"/>
  <c r="AF46" i="5" s="1"/>
  <c r="AE46" i="5" a="1"/>
  <c r="AE46" i="5" s="1"/>
  <c r="AD46" i="5" a="1"/>
  <c r="AD46" i="5" s="1"/>
  <c r="AC46" i="5"/>
  <c r="AC46" i="5" a="1"/>
  <c r="AB46" i="5"/>
  <c r="AB46" i="5" a="1"/>
  <c r="AA46" i="5" a="1"/>
  <c r="AA46" i="5" s="1"/>
  <c r="Z46" i="5"/>
  <c r="Z46" i="5" a="1"/>
  <c r="Y46" i="5" a="1"/>
  <c r="Y46" i="5" s="1"/>
  <c r="X46" i="5" a="1"/>
  <c r="X46" i="5" s="1"/>
  <c r="W46" i="5" a="1"/>
  <c r="W46" i="5" s="1"/>
  <c r="V46" i="5" a="1"/>
  <c r="V46" i="5" s="1"/>
  <c r="AJ45" i="5" a="1"/>
  <c r="AJ45" i="5" s="1"/>
  <c r="AI45" i="5"/>
  <c r="AI45" i="5" a="1"/>
  <c r="AH45" i="5" a="1"/>
  <c r="AH45" i="5" s="1"/>
  <c r="AG45" i="5"/>
  <c r="AG45" i="5" a="1"/>
  <c r="AF45" i="5" a="1"/>
  <c r="AF45" i="5" s="1"/>
  <c r="AE45" i="5" a="1"/>
  <c r="AE45" i="5" s="1"/>
  <c r="AD45" i="5" a="1"/>
  <c r="AD45" i="5" s="1"/>
  <c r="AC45" i="5" a="1"/>
  <c r="AC45" i="5" s="1"/>
  <c r="AB45" i="5" a="1"/>
  <c r="AB45" i="5" s="1"/>
  <c r="AA45" i="5"/>
  <c r="AA45" i="5" a="1"/>
  <c r="Z45" i="5" a="1"/>
  <c r="Z45" i="5" s="1"/>
  <c r="Y45" i="5"/>
  <c r="Y45" i="5" a="1"/>
  <c r="X45" i="5" a="1"/>
  <c r="X45" i="5" s="1"/>
  <c r="W45" i="5" a="1"/>
  <c r="W45" i="5" s="1"/>
  <c r="V45" i="5" a="1"/>
  <c r="V45" i="5" s="1"/>
  <c r="AJ44" i="5" a="1"/>
  <c r="AJ44" i="5" s="1"/>
  <c r="AI44" i="5"/>
  <c r="AI44" i="5" a="1"/>
  <c r="AH44" i="5" a="1"/>
  <c r="AH44" i="5" s="1"/>
  <c r="AG44" i="5" a="1"/>
  <c r="AG44" i="5" s="1"/>
  <c r="AF44" i="5"/>
  <c r="AF44" i="5" a="1"/>
  <c r="AE44" i="5" a="1"/>
  <c r="AE44" i="5" s="1"/>
  <c r="AD44" i="5" a="1"/>
  <c r="AD44" i="5" s="1"/>
  <c r="AC44" i="5" a="1"/>
  <c r="AC44" i="5" s="1"/>
  <c r="AB44" i="5"/>
  <c r="AB44" i="5" a="1"/>
  <c r="AA44" i="5" a="1"/>
  <c r="AA44" i="5" s="1"/>
  <c r="Z44" i="5"/>
  <c r="Z44" i="5" a="1"/>
  <c r="Y44" i="5" a="1"/>
  <c r="Y44" i="5" s="1"/>
  <c r="X44" i="5"/>
  <c r="X44" i="5" a="1"/>
  <c r="W44" i="5" a="1"/>
  <c r="W44" i="5" s="1"/>
  <c r="V44" i="5" a="1"/>
  <c r="V44" i="5" s="1"/>
  <c r="AJ43" i="5" a="1"/>
  <c r="AJ43" i="5" s="1"/>
  <c r="AI43" i="5"/>
  <c r="AI43" i="5" a="1"/>
  <c r="AH43" i="5" a="1"/>
  <c r="AH43" i="5" s="1"/>
  <c r="AG43" i="5" a="1"/>
  <c r="AG43" i="5" s="1"/>
  <c r="AF43" i="5" a="1"/>
  <c r="AF43" i="5" s="1"/>
  <c r="AE43" i="5"/>
  <c r="AE43" i="5" a="1"/>
  <c r="AD43" i="5" a="1"/>
  <c r="AD43" i="5" s="1"/>
  <c r="AC43" i="5" a="1"/>
  <c r="AC43" i="5" s="1"/>
  <c r="AB43" i="5" a="1"/>
  <c r="AB43" i="5" s="1"/>
  <c r="AA43" i="5"/>
  <c r="AA43" i="5" a="1"/>
  <c r="Z43" i="5" a="1"/>
  <c r="Z43" i="5" s="1"/>
  <c r="Y43" i="5"/>
  <c r="Y43" i="5" a="1"/>
  <c r="X43" i="5"/>
  <c r="X43" i="5" a="1"/>
  <c r="W43" i="5"/>
  <c r="W43" i="5" a="1"/>
  <c r="V43" i="5" a="1"/>
  <c r="V43" i="5" s="1"/>
  <c r="AJ42" i="5" a="1"/>
  <c r="AJ42" i="5" s="1"/>
  <c r="AI42" i="5" a="1"/>
  <c r="AI42" i="5" s="1"/>
  <c r="AH42" i="5" a="1"/>
  <c r="AH42" i="5" s="1"/>
  <c r="AG42" i="5"/>
  <c r="AG42" i="5" a="1"/>
  <c r="AF42" i="5" a="1"/>
  <c r="AF42" i="5" s="1"/>
  <c r="AE42" i="5"/>
  <c r="AE42" i="5" a="1"/>
  <c r="AD42" i="5"/>
  <c r="AD42" i="5" a="1"/>
  <c r="AC42" i="5" a="1"/>
  <c r="AC42" i="5" s="1"/>
  <c r="AB42" i="5" a="1"/>
  <c r="AB42" i="5" s="1"/>
  <c r="AA42" i="5" a="1"/>
  <c r="AA42" i="5" s="1"/>
  <c r="Z42" i="5"/>
  <c r="Z42" i="5" a="1"/>
  <c r="Y42" i="5" a="1"/>
  <c r="Y42" i="5" s="1"/>
  <c r="X42" i="5"/>
  <c r="X42" i="5" a="1"/>
  <c r="W42" i="5"/>
  <c r="W42" i="5" a="1"/>
  <c r="V42" i="5"/>
  <c r="V42" i="5" a="1"/>
  <c r="AJ41" i="5" a="1"/>
  <c r="AJ41" i="5" s="1"/>
  <c r="AI41" i="5" a="1"/>
  <c r="AI41" i="5" s="1"/>
  <c r="AH41" i="5" a="1"/>
  <c r="AH41" i="5" s="1"/>
  <c r="AG41" i="5" a="1"/>
  <c r="AG41" i="5" s="1"/>
  <c r="AF41" i="5" a="1"/>
  <c r="AF41" i="5" s="1"/>
  <c r="AE41" i="5"/>
  <c r="AE41" i="5" a="1"/>
  <c r="AD41" i="5" a="1"/>
  <c r="AD41" i="5" s="1"/>
  <c r="AC41" i="5"/>
  <c r="AC41" i="5" a="1"/>
  <c r="AB41" i="5" a="1"/>
  <c r="AB41" i="5" s="1"/>
  <c r="AA41" i="5" a="1"/>
  <c r="AA41" i="5" s="1"/>
  <c r="Z41" i="5" a="1"/>
  <c r="Z41" i="5" s="1"/>
  <c r="Y41" i="5"/>
  <c r="Y41" i="5" a="1"/>
  <c r="X41" i="5"/>
  <c r="X41" i="5" a="1"/>
  <c r="W41" i="5" a="1"/>
  <c r="W41" i="5" s="1"/>
  <c r="V41" i="5"/>
  <c r="V41" i="5" a="1"/>
  <c r="AJ40" i="5"/>
  <c r="AJ40" i="5" a="1"/>
  <c r="AI40" i="5" a="1"/>
  <c r="AI40" i="5" s="1"/>
  <c r="AH40" i="5" a="1"/>
  <c r="AH40" i="5" s="1"/>
  <c r="AG40" i="5" a="1"/>
  <c r="AG40" i="5" s="1"/>
  <c r="AF40" i="5" a="1"/>
  <c r="AF40" i="5" s="1"/>
  <c r="AE40" i="5"/>
  <c r="AE40" i="5" a="1"/>
  <c r="AD40" i="5" a="1"/>
  <c r="AD40" i="5" s="1"/>
  <c r="AC40" i="5" a="1"/>
  <c r="AC40" i="5" s="1"/>
  <c r="AB40" i="5"/>
  <c r="AB40" i="5" a="1"/>
  <c r="AA40" i="5" a="1"/>
  <c r="AA40" i="5" s="1"/>
  <c r="Z40" i="5" a="1"/>
  <c r="Z40" i="5" s="1"/>
  <c r="Y40" i="5" a="1"/>
  <c r="Y40" i="5" s="1"/>
  <c r="X40" i="5" a="1"/>
  <c r="X40" i="5" s="1"/>
  <c r="W40" i="5" a="1"/>
  <c r="W40" i="5" s="1"/>
  <c r="V40" i="5"/>
  <c r="V40" i="5" a="1"/>
  <c r="AJ39" i="5" a="1"/>
  <c r="AJ39" i="5" s="1"/>
  <c r="AI39" i="5"/>
  <c r="AI39" i="5" a="1"/>
  <c r="AH39" i="5" a="1"/>
  <c r="AH39" i="5" s="1"/>
  <c r="AG39" i="5" a="1"/>
  <c r="AG39" i="5" s="1"/>
  <c r="AF39" i="5"/>
  <c r="AF39" i="5" a="1"/>
  <c r="AE39" i="5" a="1"/>
  <c r="AE39" i="5" s="1"/>
  <c r="AD39" i="5" a="1"/>
  <c r="AD39" i="5" s="1"/>
  <c r="AC39" i="5" a="1"/>
  <c r="AC39" i="5" s="1"/>
  <c r="AB39" i="5"/>
  <c r="AB39" i="5" a="1"/>
  <c r="AA39" i="5"/>
  <c r="AA39" i="5" a="1"/>
  <c r="Z39" i="5" a="1"/>
  <c r="Z39" i="5" s="1"/>
  <c r="Y39" i="5" a="1"/>
  <c r="Y39" i="5" s="1"/>
  <c r="X39" i="5"/>
  <c r="X39" i="5" a="1"/>
  <c r="W39" i="5"/>
  <c r="W39" i="5" a="1"/>
  <c r="V39" i="5" a="1"/>
  <c r="V39" i="5" s="1"/>
  <c r="AJ38" i="5" a="1"/>
  <c r="AJ38" i="5" s="1"/>
  <c r="AI38" i="5" a="1"/>
  <c r="AI38" i="5" s="1"/>
  <c r="AH38" i="5"/>
  <c r="AH38" i="5" a="1"/>
  <c r="AG38" i="5" a="1"/>
  <c r="AG38" i="5" s="1"/>
  <c r="AF38" i="5" a="1"/>
  <c r="AF38" i="5" s="1"/>
  <c r="AE38" i="5" a="1"/>
  <c r="AE38" i="5" s="1"/>
  <c r="AD38" i="5" a="1"/>
  <c r="AD38" i="5" s="1"/>
  <c r="AC38" i="5"/>
  <c r="AC38" i="5" a="1"/>
  <c r="AB38" i="5" a="1"/>
  <c r="AB38" i="5" s="1"/>
  <c r="AA38" i="5" a="1"/>
  <c r="AA38" i="5" s="1"/>
  <c r="Z38" i="5"/>
  <c r="Z38" i="5" a="1"/>
  <c r="Y38" i="5" a="1"/>
  <c r="Y38" i="5" s="1"/>
  <c r="X38" i="5" a="1"/>
  <c r="X38" i="5" s="1"/>
  <c r="W38" i="5" a="1"/>
  <c r="W38" i="5" s="1"/>
  <c r="V38" i="5" a="1"/>
  <c r="V38" i="5" s="1"/>
  <c r="AJ37" i="5" a="1"/>
  <c r="AJ37" i="5" s="1"/>
  <c r="AI37" i="5"/>
  <c r="AI37" i="5" a="1"/>
  <c r="AH37" i="5"/>
  <c r="AH37" i="5" a="1"/>
  <c r="AG37" i="5"/>
  <c r="AG37" i="5" a="1"/>
  <c r="AF37" i="5" a="1"/>
  <c r="AF37" i="5" s="1"/>
  <c r="AE37" i="5" a="1"/>
  <c r="AE37" i="5" s="1"/>
  <c r="AD37" i="5"/>
  <c r="AD37" i="5" a="1"/>
  <c r="AC37" i="5" a="1"/>
  <c r="AC37" i="5" s="1"/>
  <c r="AB37" i="5" a="1"/>
  <c r="AB37" i="5" s="1"/>
  <c r="AA37" i="5" a="1"/>
  <c r="AA37" i="5" s="1"/>
  <c r="Z37" i="5"/>
  <c r="Z37" i="5" a="1"/>
  <c r="Y37" i="5"/>
  <c r="Y37" i="5" a="1"/>
  <c r="X37" i="5" a="1"/>
  <c r="X37" i="5" s="1"/>
  <c r="W37" i="5" a="1"/>
  <c r="W37" i="5" s="1"/>
  <c r="V37" i="5" a="1"/>
  <c r="V37" i="5" s="1"/>
  <c r="AJ36" i="5"/>
  <c r="AJ36" i="5" a="1"/>
  <c r="AI36" i="5" a="1"/>
  <c r="AI36" i="5" s="1"/>
  <c r="AH36" i="5" a="1"/>
  <c r="AH36" i="5" s="1"/>
  <c r="AG36" i="5" a="1"/>
  <c r="AG36" i="5" s="1"/>
  <c r="AF36" i="5"/>
  <c r="AF36" i="5" a="1"/>
  <c r="AE36" i="5" a="1"/>
  <c r="AE36" i="5" s="1"/>
  <c r="AD36" i="5" a="1"/>
  <c r="AD36" i="5" s="1"/>
  <c r="AC36" i="5"/>
  <c r="AC36" i="5" a="1"/>
  <c r="AB36" i="5" a="1"/>
  <c r="AB36" i="5" s="1"/>
  <c r="AA36" i="5"/>
  <c r="AA36" i="5" a="1"/>
  <c r="Z36" i="5" a="1"/>
  <c r="Z36" i="5" s="1"/>
  <c r="Y36" i="5" a="1"/>
  <c r="Y36" i="5" s="1"/>
  <c r="X36" i="5"/>
  <c r="X36" i="5" a="1"/>
  <c r="W36" i="5" a="1"/>
  <c r="W36" i="5" s="1"/>
  <c r="V36" i="5" a="1"/>
  <c r="V36" i="5" s="1"/>
  <c r="AJ35" i="5"/>
  <c r="AJ35" i="5" a="1"/>
  <c r="AI35" i="5" a="1"/>
  <c r="AI35" i="5" s="1"/>
  <c r="AH35" i="5" a="1"/>
  <c r="AH35" i="5" s="1"/>
  <c r="AG35" i="5"/>
  <c r="AG35" i="5" a="1"/>
  <c r="AF35" i="5" a="1"/>
  <c r="AF35" i="5" s="1"/>
  <c r="AE35" i="5"/>
  <c r="AE35" i="5" a="1"/>
  <c r="AD35" i="5" a="1"/>
  <c r="AD35" i="5" s="1"/>
  <c r="AC35" i="5" a="1"/>
  <c r="AC35" i="5" s="1"/>
  <c r="AB35" i="5"/>
  <c r="AB35" i="5" a="1"/>
  <c r="AA35" i="5" a="1"/>
  <c r="AA35" i="5" s="1"/>
  <c r="Z35" i="5"/>
  <c r="Z35" i="5" a="1"/>
  <c r="Y35" i="5" a="1"/>
  <c r="Y35" i="5" s="1"/>
  <c r="X35" i="5"/>
  <c r="X35" i="5" a="1"/>
  <c r="W35" i="5"/>
  <c r="W35" i="5" a="1"/>
  <c r="V35" i="5" a="1"/>
  <c r="V35" i="5" s="1"/>
  <c r="AJ34" i="5" a="1"/>
  <c r="AJ34" i="5" s="1"/>
  <c r="AI34" i="5"/>
  <c r="AI34" i="5" a="1"/>
  <c r="AH34" i="5"/>
  <c r="AH34" i="5" a="1"/>
  <c r="AG34" i="5" a="1"/>
  <c r="AG34" i="5" s="1"/>
  <c r="AF34" i="5" a="1"/>
  <c r="AF34" i="5" s="1"/>
  <c r="AE34" i="5" a="1"/>
  <c r="AE34" i="5" s="1"/>
  <c r="AD34" i="5"/>
  <c r="AD34" i="5" a="1"/>
  <c r="AC34" i="5" a="1"/>
  <c r="AC34" i="5" s="1"/>
  <c r="AB34" i="5" a="1"/>
  <c r="AB34" i="5" s="1"/>
  <c r="AA34" i="5" a="1"/>
  <c r="AA34" i="5" s="1"/>
  <c r="Z34" i="5" a="1"/>
  <c r="Z34" i="5" s="1"/>
  <c r="Y34" i="5"/>
  <c r="Y34" i="5" a="1"/>
  <c r="X34" i="5" a="1"/>
  <c r="X34" i="5" s="1"/>
  <c r="W34" i="5" a="1"/>
  <c r="W34" i="5" s="1"/>
  <c r="V34" i="5"/>
  <c r="V34" i="5" a="1"/>
  <c r="AJ33" i="5" a="1"/>
  <c r="AJ33" i="5" s="1"/>
  <c r="AI33" i="5" a="1"/>
  <c r="AI33" i="5" s="1"/>
  <c r="AH33" i="5" a="1"/>
  <c r="AH33" i="5" s="1"/>
  <c r="AG33" i="5" a="1"/>
  <c r="AG33" i="5" s="1"/>
  <c r="AF33" i="5"/>
  <c r="AF33" i="5" a="1"/>
  <c r="AE33" i="5"/>
  <c r="AE33" i="5" a="1"/>
  <c r="AD33" i="5"/>
  <c r="AD33" i="5" a="1"/>
  <c r="AC33" i="5"/>
  <c r="AC33" i="5" a="1"/>
  <c r="AB33" i="5" a="1"/>
  <c r="AB33" i="5" s="1"/>
  <c r="AA33" i="5" a="1"/>
  <c r="AA33" i="5" s="1"/>
  <c r="Z33" i="5"/>
  <c r="Z33" i="5" a="1"/>
  <c r="Y33" i="5" a="1"/>
  <c r="Y33" i="5" s="1"/>
  <c r="X33" i="5" a="1"/>
  <c r="X33" i="5" s="1"/>
  <c r="W33" i="5" a="1"/>
  <c r="W33" i="5" s="1"/>
  <c r="V33" i="5"/>
  <c r="V33" i="5" a="1"/>
  <c r="AJ32" i="5" a="1"/>
  <c r="AJ32" i="5" s="1"/>
  <c r="AI32" i="5" a="1"/>
  <c r="AI32" i="5" s="1"/>
  <c r="AH32" i="5" a="1"/>
  <c r="AH32" i="5" s="1"/>
  <c r="AG32" i="5" a="1"/>
  <c r="AG32" i="5" s="1"/>
  <c r="AF32" i="5"/>
  <c r="AF32" i="5" a="1"/>
  <c r="AE32" i="5" a="1"/>
  <c r="AE32" i="5" s="1"/>
  <c r="AD32" i="5" a="1"/>
  <c r="AD32" i="5" s="1"/>
  <c r="AC32" i="5"/>
  <c r="AC32" i="5" a="1"/>
  <c r="AB32" i="5"/>
  <c r="AB32" i="5" a="1"/>
  <c r="AA32" i="5" a="1"/>
  <c r="AA32" i="5" s="1"/>
  <c r="Z32" i="5" a="1"/>
  <c r="Z32" i="5" s="1"/>
  <c r="Y32" i="5" a="1"/>
  <c r="Y32" i="5" s="1"/>
  <c r="X32" i="5" a="1"/>
  <c r="X32" i="5" s="1"/>
  <c r="W32" i="5"/>
  <c r="W32" i="5" a="1"/>
  <c r="V32" i="5" a="1"/>
  <c r="V32" i="5" s="1"/>
  <c r="AJ31" i="5" a="1"/>
  <c r="AJ31" i="5" s="1"/>
  <c r="AI31" i="5" a="1"/>
  <c r="AI31" i="5" s="1"/>
  <c r="AH31" i="5" a="1"/>
  <c r="AH31" i="5" s="1"/>
  <c r="AG31" i="5" a="1"/>
  <c r="AG31" i="5" s="1"/>
  <c r="AF31" i="5" a="1"/>
  <c r="AF31" i="5" s="1"/>
  <c r="AE31" i="5" a="1"/>
  <c r="AE31" i="5" s="1"/>
  <c r="AD31" i="5" a="1"/>
  <c r="AD31" i="5" s="1"/>
  <c r="AC31" i="5"/>
  <c r="AC31" i="5" a="1"/>
  <c r="AB31" i="5" a="1"/>
  <c r="AB31" i="5" s="1"/>
  <c r="AA31" i="5" a="1"/>
  <c r="AA31" i="5" s="1"/>
  <c r="Z31" i="5" a="1"/>
  <c r="Z31" i="5" s="1"/>
  <c r="Y31" i="5" a="1"/>
  <c r="Y31" i="5" s="1"/>
  <c r="X31" i="5"/>
  <c r="X31" i="5" a="1"/>
  <c r="W31" i="5" a="1"/>
  <c r="W31" i="5" s="1"/>
  <c r="V31" i="5"/>
  <c r="V31" i="5" a="1"/>
  <c r="AJ30" i="5" a="1"/>
  <c r="AJ30" i="5" s="1"/>
  <c r="AI30" i="5"/>
  <c r="AI30" i="5" a="1"/>
  <c r="AH30" i="5" a="1"/>
  <c r="AH30" i="5" s="1"/>
  <c r="AG30" i="5" a="1"/>
  <c r="AG30" i="5" s="1"/>
  <c r="AF30" i="5" a="1"/>
  <c r="AF30" i="5" s="1"/>
  <c r="AE30" i="5"/>
  <c r="AE30" i="5" a="1"/>
  <c r="AD30" i="5"/>
  <c r="AD30" i="5" a="1"/>
  <c r="AC30" i="5" a="1"/>
  <c r="AC30" i="5" s="1"/>
  <c r="AB30" i="5" a="1"/>
  <c r="AB30" i="5" s="1"/>
  <c r="AA30" i="5" a="1"/>
  <c r="AA30" i="5" s="1"/>
  <c r="Z30" i="5"/>
  <c r="Z30" i="5" a="1"/>
  <c r="Y30" i="5" a="1"/>
  <c r="Y30" i="5" s="1"/>
  <c r="X30" i="5" a="1"/>
  <c r="X30" i="5" s="1"/>
  <c r="W30" i="5" a="1"/>
  <c r="W30" i="5" s="1"/>
  <c r="V30" i="5" a="1"/>
  <c r="V30" i="5" s="1"/>
  <c r="AJ29" i="5"/>
  <c r="AJ29" i="5" a="1"/>
  <c r="AI29" i="5" a="1"/>
  <c r="AI29" i="5" s="1"/>
  <c r="AH29" i="5" a="1"/>
  <c r="AH29" i="5" s="1"/>
  <c r="AG29" i="5" a="1"/>
  <c r="AG29" i="5" s="1"/>
  <c r="AF29" i="5" a="1"/>
  <c r="AF29" i="5" s="1"/>
  <c r="AE29" i="5" a="1"/>
  <c r="AE29" i="5" s="1"/>
  <c r="AD29" i="5" a="1"/>
  <c r="AD29" i="5" s="1"/>
  <c r="AC29" i="5" a="1"/>
  <c r="AC29" i="5" s="1"/>
  <c r="AB29" i="5" a="1"/>
  <c r="AB29" i="5" s="1"/>
  <c r="AA29" i="5"/>
  <c r="AA29" i="5" a="1"/>
  <c r="Z29" i="5" a="1"/>
  <c r="Z29" i="5" s="1"/>
  <c r="Y29" i="5"/>
  <c r="Y29" i="5" a="1"/>
  <c r="X29" i="5" a="1"/>
  <c r="X29" i="5" s="1"/>
  <c r="W29" i="5" a="1"/>
  <c r="W29" i="5" s="1"/>
  <c r="V29" i="5"/>
  <c r="V29" i="5" a="1"/>
  <c r="AJ28" i="5" a="1"/>
  <c r="AJ28" i="5" s="1"/>
  <c r="AI28" i="5" a="1"/>
  <c r="AI28" i="5" s="1"/>
  <c r="AH28" i="5" a="1"/>
  <c r="AH28" i="5" s="1"/>
  <c r="AG28" i="5"/>
  <c r="AG28" i="5" a="1"/>
  <c r="AF28" i="5"/>
  <c r="AF28" i="5" a="1"/>
  <c r="AE28" i="5" a="1"/>
  <c r="AE28" i="5" s="1"/>
  <c r="AD28" i="5" a="1"/>
  <c r="AD28" i="5" s="1"/>
  <c r="AC28" i="5"/>
  <c r="AC28" i="5" a="1"/>
  <c r="AB28" i="5" a="1"/>
  <c r="AB28" i="5" s="1"/>
  <c r="AA28" i="5" a="1"/>
  <c r="AA28" i="5" s="1"/>
  <c r="Z28" i="5" a="1"/>
  <c r="Z28" i="5" s="1"/>
  <c r="Y28" i="5"/>
  <c r="Y28" i="5" a="1"/>
  <c r="X28" i="5" a="1"/>
  <c r="X28" i="5" s="1"/>
  <c r="W28" i="5" a="1"/>
  <c r="W28" i="5" s="1"/>
  <c r="V28" i="5" a="1"/>
  <c r="V28" i="5" s="1"/>
  <c r="AJ27" i="5"/>
  <c r="AJ27" i="5" a="1"/>
  <c r="AI27" i="5" a="1"/>
  <c r="AI27" i="5" s="1"/>
  <c r="AH27" i="5" a="1"/>
  <c r="AH27" i="5" s="1"/>
  <c r="AG27" i="5" a="1"/>
  <c r="AG27" i="5" s="1"/>
  <c r="AF27" i="5"/>
  <c r="AF27" i="5" a="1"/>
  <c r="AE27" i="5" a="1"/>
  <c r="AE27" i="5" s="1"/>
  <c r="AD27" i="5" a="1"/>
  <c r="AD27" i="5" s="1"/>
  <c r="AC27" i="5" a="1"/>
  <c r="AC27" i="5" s="1"/>
  <c r="AB27" i="5"/>
  <c r="AB27" i="5" a="1"/>
  <c r="AA27" i="5" a="1"/>
  <c r="AA27" i="5" s="1"/>
  <c r="Z27" i="5" a="1"/>
  <c r="Z27" i="5" s="1"/>
  <c r="Y27" i="5"/>
  <c r="Y27" i="5" a="1"/>
  <c r="X27" i="5"/>
  <c r="X27" i="5" a="1"/>
  <c r="W27" i="5" a="1"/>
  <c r="W27" i="5" s="1"/>
  <c r="V27" i="5" a="1"/>
  <c r="V27" i="5" s="1"/>
  <c r="AJ26" i="5" a="1"/>
  <c r="AJ26" i="5" s="1"/>
  <c r="AI26" i="5"/>
  <c r="AI26" i="5" a="1"/>
  <c r="AH26" i="5" a="1"/>
  <c r="AH26" i="5" s="1"/>
  <c r="AG26" i="5" a="1"/>
  <c r="AG26" i="5" s="1"/>
  <c r="AF26" i="5"/>
  <c r="AF26" i="5" a="1"/>
  <c r="AE26" i="5"/>
  <c r="AE26" i="5" a="1"/>
  <c r="AD26" i="5"/>
  <c r="AD26" i="5" a="1"/>
  <c r="AC26" i="5" a="1"/>
  <c r="AC26" i="5" s="1"/>
  <c r="AB26" i="5" a="1"/>
  <c r="AB26" i="5" s="1"/>
  <c r="AA26" i="5"/>
  <c r="AA26" i="5" a="1"/>
  <c r="Z26" i="5" a="1"/>
  <c r="Z26" i="5" s="1"/>
  <c r="Y26" i="5" a="1"/>
  <c r="Y26" i="5" s="1"/>
  <c r="X26" i="5" a="1"/>
  <c r="X26" i="5" s="1"/>
  <c r="W26" i="5"/>
  <c r="W26" i="5" a="1"/>
  <c r="V26" i="5" a="1"/>
  <c r="V26" i="5" s="1"/>
  <c r="AJ25" i="5"/>
  <c r="AJ25" i="5" a="1"/>
  <c r="AI25" i="5" a="1"/>
  <c r="AI25" i="5" s="1"/>
  <c r="AH25" i="5"/>
  <c r="AH25" i="5" a="1"/>
  <c r="AG25" i="5" a="1"/>
  <c r="AG25" i="5" s="1"/>
  <c r="AF25" i="5" a="1"/>
  <c r="AF25" i="5" s="1"/>
  <c r="AE25" i="5" a="1"/>
  <c r="AE25" i="5" s="1"/>
  <c r="AD25" i="5"/>
  <c r="AD25" i="5" a="1"/>
  <c r="AC25" i="5" a="1"/>
  <c r="AC25" i="5" s="1"/>
  <c r="AB25" i="5"/>
  <c r="AB25" i="5" a="1"/>
  <c r="AA25" i="5" a="1"/>
  <c r="AA25" i="5" s="1"/>
  <c r="Z25" i="5" a="1"/>
  <c r="Z25" i="5" s="1"/>
  <c r="Y25" i="5" a="1"/>
  <c r="Y25" i="5" s="1"/>
  <c r="X25" i="5" a="1"/>
  <c r="X25" i="5" s="1"/>
  <c r="W25" i="5" a="1"/>
  <c r="W25" i="5" s="1"/>
  <c r="V25" i="5"/>
  <c r="V25" i="5" a="1"/>
  <c r="AJ24" i="5" a="1"/>
  <c r="AJ24" i="5" s="1"/>
  <c r="AI24" i="5" a="1"/>
  <c r="AI24" i="5" s="1"/>
  <c r="AH24" i="5" a="1"/>
  <c r="AH24" i="5" s="1"/>
  <c r="AG24" i="5" a="1"/>
  <c r="AG24" i="5" s="1"/>
  <c r="AF24" i="5" a="1"/>
  <c r="AF24" i="5" s="1"/>
  <c r="AE24" i="5" a="1"/>
  <c r="AE24" i="5" s="1"/>
  <c r="AD24" i="5" a="1"/>
  <c r="AD24" i="5" s="1"/>
  <c r="AC24" i="5"/>
  <c r="AC24" i="5" a="1"/>
  <c r="AB24" i="5" a="1"/>
  <c r="AB24" i="5" s="1"/>
  <c r="AA24" i="5" a="1"/>
  <c r="AA24" i="5" s="1"/>
  <c r="Z24" i="5" a="1"/>
  <c r="Z24" i="5" s="1"/>
  <c r="Y24" i="5" a="1"/>
  <c r="Y24" i="5" s="1"/>
  <c r="X24" i="5" a="1"/>
  <c r="X24" i="5" s="1"/>
  <c r="W24" i="5" a="1"/>
  <c r="W24" i="5" s="1"/>
  <c r="V24" i="5" a="1"/>
  <c r="V24" i="5" s="1"/>
  <c r="AJ23" i="5"/>
  <c r="AJ23" i="5" a="1"/>
  <c r="AI23" i="5" a="1"/>
  <c r="AI23" i="5" s="1"/>
  <c r="AH23" i="5"/>
  <c r="AH23" i="5" a="1"/>
  <c r="AG23" i="5" a="1"/>
  <c r="AG23" i="5" s="1"/>
  <c r="AF23" i="5" a="1"/>
  <c r="AF23" i="5" s="1"/>
  <c r="AE23" i="5" a="1"/>
  <c r="AE23" i="5" s="1"/>
  <c r="AD23" i="5" a="1"/>
  <c r="AD23" i="5" s="1"/>
  <c r="AC23" i="5" a="1"/>
  <c r="AC23" i="5" s="1"/>
  <c r="AB23" i="5"/>
  <c r="AB23" i="5" a="1"/>
  <c r="AA23" i="5" a="1"/>
  <c r="AA23" i="5" s="1"/>
  <c r="Z23" i="5"/>
  <c r="Z23" i="5" a="1"/>
  <c r="Y23" i="5" a="1"/>
  <c r="Y23" i="5" s="1"/>
  <c r="X23" i="5" a="1"/>
  <c r="X23" i="5" s="1"/>
  <c r="W23" i="5" a="1"/>
  <c r="W23" i="5" s="1"/>
  <c r="V23" i="5" a="1"/>
  <c r="V23" i="5" s="1"/>
  <c r="AJ22" i="5" a="1"/>
  <c r="AJ22" i="5" s="1"/>
  <c r="AI22" i="5"/>
  <c r="AI22" i="5" a="1"/>
  <c r="AH22" i="5" a="1"/>
  <c r="AH22" i="5" s="1"/>
  <c r="AG22" i="5" a="1"/>
  <c r="AG22" i="5" s="1"/>
  <c r="AF22" i="5" a="1"/>
  <c r="AF22" i="5" s="1"/>
  <c r="AE22" i="5" a="1"/>
  <c r="AE22" i="5" s="1"/>
  <c r="AD22" i="5" a="1"/>
  <c r="AD22" i="5" s="1"/>
  <c r="AC22" i="5" a="1"/>
  <c r="AC22" i="5" s="1"/>
  <c r="AB22" i="5" a="1"/>
  <c r="AB22" i="5" s="1"/>
  <c r="AA22" i="5"/>
  <c r="AA22" i="5" a="1"/>
  <c r="Z22" i="5" a="1"/>
  <c r="Z22" i="5" s="1"/>
  <c r="Y22" i="5" a="1"/>
  <c r="Y22" i="5" s="1"/>
  <c r="X22" i="5" a="1"/>
  <c r="X22" i="5" s="1"/>
  <c r="W22" i="5" a="1"/>
  <c r="W22" i="5" s="1"/>
  <c r="V22" i="5" a="1"/>
  <c r="V22" i="5" s="1"/>
  <c r="AJ21" i="5" a="1"/>
  <c r="AJ21" i="5" s="1"/>
  <c r="AI21" i="5" a="1"/>
  <c r="AI21" i="5" s="1"/>
  <c r="AH21" i="5"/>
  <c r="AH21" i="5" a="1"/>
  <c r="AG21" i="5" a="1"/>
  <c r="AG21" i="5" s="1"/>
  <c r="AF21" i="5"/>
  <c r="AF21" i="5" a="1"/>
  <c r="AE21" i="5" a="1"/>
  <c r="AE21" i="5" s="1"/>
  <c r="AD21" i="5" a="1"/>
  <c r="AD21" i="5" s="1"/>
  <c r="AC21" i="5" a="1"/>
  <c r="AC21" i="5" s="1"/>
  <c r="AB21" i="5" a="1"/>
  <c r="AB21" i="5" s="1"/>
  <c r="AA21" i="5" a="1"/>
  <c r="AA21" i="5" s="1"/>
  <c r="Z21" i="5"/>
  <c r="Z21" i="5" a="1"/>
  <c r="Y21" i="5" a="1"/>
  <c r="Y21" i="5" s="1"/>
  <c r="X21" i="5"/>
  <c r="X21" i="5" a="1"/>
  <c r="W21" i="5" a="1"/>
  <c r="W21" i="5" s="1"/>
  <c r="V21" i="5" a="1"/>
  <c r="V21" i="5" s="1"/>
  <c r="AJ20" i="5" a="1"/>
  <c r="AJ20" i="5" s="1"/>
  <c r="AI20" i="5" a="1"/>
  <c r="AI20" i="5" s="1"/>
  <c r="AH20" i="5" a="1"/>
  <c r="AH20" i="5" s="1"/>
  <c r="AG20" i="5"/>
  <c r="AG20" i="5" a="1"/>
  <c r="AF20" i="5" a="1"/>
  <c r="AF20" i="5" s="1"/>
  <c r="AE20" i="5" a="1"/>
  <c r="AE20" i="5" s="1"/>
  <c r="AD20" i="5" a="1"/>
  <c r="AD20" i="5" s="1"/>
  <c r="AC20" i="5" a="1"/>
  <c r="AC20" i="5" s="1"/>
  <c r="AB20" i="5" a="1"/>
  <c r="AB20" i="5" s="1"/>
  <c r="AA20" i="5" a="1"/>
  <c r="AA20" i="5" s="1"/>
  <c r="Z20" i="5" a="1"/>
  <c r="Z20" i="5" s="1"/>
  <c r="Y20" i="5"/>
  <c r="Y20" i="5" a="1"/>
  <c r="X20" i="5" a="1"/>
  <c r="X20" i="5" s="1"/>
  <c r="W20" i="5" a="1"/>
  <c r="W20" i="5" s="1"/>
  <c r="V20" i="5" a="1"/>
  <c r="V20" i="5" s="1"/>
  <c r="AJ19" i="5" a="1"/>
  <c r="AJ19" i="5" s="1"/>
  <c r="AI19" i="5" a="1"/>
  <c r="AI19" i="5" s="1"/>
  <c r="AH19" i="5" a="1"/>
  <c r="AH19" i="5" s="1"/>
  <c r="AG19" i="5" a="1"/>
  <c r="AG19" i="5" s="1"/>
  <c r="AF19" i="5"/>
  <c r="AF19" i="5" a="1"/>
  <c r="AE19" i="5" a="1"/>
  <c r="AE19" i="5" s="1"/>
  <c r="AD19" i="5"/>
  <c r="AD19" i="5" a="1"/>
  <c r="AC19" i="5" a="1"/>
  <c r="AC19" i="5" s="1"/>
  <c r="AB19" i="5" a="1"/>
  <c r="AB19" i="5" s="1"/>
  <c r="AA19" i="5" a="1"/>
  <c r="AA19" i="5" s="1"/>
  <c r="Z19" i="5" a="1"/>
  <c r="Z19" i="5" s="1"/>
  <c r="Y19" i="5" a="1"/>
  <c r="Y19" i="5" s="1"/>
  <c r="X19" i="5"/>
  <c r="X19" i="5" a="1"/>
  <c r="W19" i="5" a="1"/>
  <c r="W19" i="5" s="1"/>
  <c r="V19" i="5"/>
  <c r="V19" i="5" a="1"/>
  <c r="AJ18" i="5" a="1"/>
  <c r="AJ18" i="5" s="1"/>
  <c r="AI18" i="5" a="1"/>
  <c r="AI18" i="5" s="1"/>
  <c r="AH18" i="5" a="1"/>
  <c r="AH18" i="5" s="1"/>
  <c r="AG18" i="5" a="1"/>
  <c r="AG18" i="5" s="1"/>
  <c r="AF18" i="5" a="1"/>
  <c r="AF18" i="5" s="1"/>
  <c r="AE18" i="5"/>
  <c r="AE18" i="5" a="1"/>
  <c r="AD18" i="5" a="1"/>
  <c r="AD18" i="5" s="1"/>
  <c r="AC18" i="5" a="1"/>
  <c r="AC18" i="5" s="1"/>
  <c r="AB18" i="5" a="1"/>
  <c r="AB18" i="5" s="1"/>
  <c r="AA18" i="5" a="1"/>
  <c r="AA18" i="5" s="1"/>
  <c r="Z18" i="5" a="1"/>
  <c r="Z18" i="5" s="1"/>
  <c r="Y18" i="5" a="1"/>
  <c r="Y18" i="5" s="1"/>
  <c r="X18" i="5" a="1"/>
  <c r="X18" i="5" s="1"/>
  <c r="W18" i="5"/>
  <c r="W18" i="5" a="1"/>
  <c r="V18" i="5" a="1"/>
  <c r="V18" i="5" s="1"/>
  <c r="AJ17" i="5" a="1"/>
  <c r="AJ17" i="5" s="1"/>
  <c r="AI17" i="5" a="1"/>
  <c r="AI17" i="5" s="1"/>
  <c r="AH17" i="5" a="1"/>
  <c r="AH17" i="5" s="1"/>
  <c r="AG17" i="5" a="1"/>
  <c r="AG17" i="5" s="1"/>
  <c r="AF17" i="5" a="1"/>
  <c r="AF17" i="5" s="1"/>
  <c r="AE17" i="5" a="1"/>
  <c r="AE17" i="5" s="1"/>
  <c r="AD17" i="5"/>
  <c r="AD17" i="5" a="1"/>
  <c r="AC17" i="5" a="1"/>
  <c r="AC17" i="5" s="1"/>
  <c r="AB17" i="5"/>
  <c r="AB17" i="5" a="1"/>
  <c r="AA17" i="5" a="1"/>
  <c r="AA17" i="5" s="1"/>
  <c r="Z17" i="5" a="1"/>
  <c r="Z17" i="5" s="1"/>
  <c r="Y17" i="5" a="1"/>
  <c r="Y17" i="5" s="1"/>
  <c r="X17" i="5" a="1"/>
  <c r="X17" i="5" s="1"/>
  <c r="W17" i="5" a="1"/>
  <c r="W17" i="5" s="1"/>
  <c r="V17" i="5"/>
  <c r="V17" i="5" a="1"/>
  <c r="AJ16" i="5" a="1"/>
  <c r="AJ16" i="5" s="1"/>
  <c r="AI16" i="5"/>
  <c r="AI16" i="5" a="1"/>
  <c r="AH16" i="5" a="1"/>
  <c r="AH16" i="5" s="1"/>
  <c r="AG16" i="5" a="1"/>
  <c r="AG16" i="5" s="1"/>
  <c r="AF16" i="5" a="1"/>
  <c r="AF16" i="5" s="1"/>
  <c r="AE16" i="5" a="1"/>
  <c r="AE16" i="5" s="1"/>
  <c r="AD16" i="5" a="1"/>
  <c r="AD16" i="5" s="1"/>
  <c r="AC16" i="5"/>
  <c r="AC16" i="5" a="1"/>
  <c r="AB16" i="5" a="1"/>
  <c r="AB16" i="5" s="1"/>
  <c r="AA16" i="5" a="1"/>
  <c r="AA16" i="5" s="1"/>
  <c r="Z16" i="5" a="1"/>
  <c r="Z16" i="5" s="1"/>
  <c r="Y16" i="5" a="1"/>
  <c r="Y16" i="5" s="1"/>
  <c r="X16" i="5" a="1"/>
  <c r="X16" i="5" s="1"/>
  <c r="W16" i="5" a="1"/>
  <c r="W16" i="5" s="1"/>
  <c r="V16" i="5" a="1"/>
  <c r="V16" i="5" s="1"/>
  <c r="AJ15" i="5"/>
  <c r="AJ15" i="5" a="1"/>
  <c r="AI15" i="5" a="1"/>
  <c r="AI15" i="5" s="1"/>
  <c r="AH15" i="5" a="1"/>
  <c r="AH15" i="5" s="1"/>
  <c r="AG15" i="5" a="1"/>
  <c r="AG15" i="5" s="1"/>
  <c r="AF15" i="5" a="1"/>
  <c r="AF15" i="5" s="1"/>
  <c r="AE15" i="5" a="1"/>
  <c r="AE15" i="5" s="1"/>
  <c r="AD15" i="5" a="1"/>
  <c r="AD15" i="5" s="1"/>
  <c r="AC15" i="5" a="1"/>
  <c r="AC15" i="5" s="1"/>
  <c r="AB15" i="5"/>
  <c r="AB15" i="5" a="1"/>
  <c r="AA15" i="5" a="1"/>
  <c r="AA15" i="5" s="1"/>
  <c r="Z15" i="5"/>
  <c r="Z15" i="5" a="1"/>
  <c r="Y15" i="5" a="1"/>
  <c r="Y15" i="5" s="1"/>
  <c r="X15" i="5" a="1"/>
  <c r="X15" i="5" s="1"/>
  <c r="W15" i="5" a="1"/>
  <c r="W15" i="5" s="1"/>
  <c r="V15" i="5" a="1"/>
  <c r="V15" i="5" s="1"/>
  <c r="AJ14" i="5" a="1"/>
  <c r="AJ14" i="5" s="1"/>
  <c r="AI14" i="5"/>
  <c r="AI14" i="5" a="1"/>
  <c r="AH14" i="5" a="1"/>
  <c r="AH14" i="5" s="1"/>
  <c r="AG14" i="5"/>
  <c r="AG14" i="5" a="1"/>
  <c r="AF14" i="5" a="1"/>
  <c r="AF14" i="5" s="1"/>
  <c r="AE14" i="5" a="1"/>
  <c r="AE14" i="5" s="1"/>
  <c r="AD14" i="5" a="1"/>
  <c r="AD14" i="5" s="1"/>
  <c r="AC14" i="5" a="1"/>
  <c r="AC14" i="5" s="1"/>
  <c r="AB14" i="5" a="1"/>
  <c r="AB14" i="5" s="1"/>
  <c r="AA14" i="5"/>
  <c r="AA14" i="5" a="1"/>
  <c r="Z14" i="5" a="1"/>
  <c r="Z14" i="5" s="1"/>
  <c r="Y14" i="5" a="1"/>
  <c r="Y14" i="5" s="1"/>
  <c r="X14" i="5" a="1"/>
  <c r="X14" i="5" s="1"/>
  <c r="W14" i="5" a="1"/>
  <c r="W14" i="5" s="1"/>
  <c r="V14" i="5" a="1"/>
  <c r="V14" i="5" s="1"/>
  <c r="AJ13" i="5" a="1"/>
  <c r="AJ13" i="5" s="1"/>
  <c r="AI13" i="5" a="1"/>
  <c r="AI13" i="5" s="1"/>
  <c r="AH13" i="5"/>
  <c r="AH13" i="5" a="1"/>
  <c r="AG13" i="5" a="1"/>
  <c r="AG13" i="5" s="1"/>
  <c r="AF13" i="5" a="1"/>
  <c r="AF13" i="5" s="1"/>
  <c r="AE13" i="5" a="1"/>
  <c r="AE13" i="5" s="1"/>
  <c r="AD13" i="5" a="1"/>
  <c r="AD13" i="5" s="1"/>
  <c r="AC13" i="5" a="1"/>
  <c r="AC13" i="5" s="1"/>
  <c r="AB13" i="5" a="1"/>
  <c r="AB13" i="5" s="1"/>
  <c r="AA13" i="5" a="1"/>
  <c r="AA13" i="5" s="1"/>
  <c r="Z13" i="5"/>
  <c r="Z13" i="5" a="1"/>
  <c r="Y13" i="5" a="1"/>
  <c r="Y13" i="5" s="1"/>
  <c r="X13" i="5"/>
  <c r="X13" i="5" a="1"/>
  <c r="W13" i="5" a="1"/>
  <c r="W13" i="5" s="1"/>
  <c r="V13" i="5" a="1"/>
  <c r="V13" i="5" s="1"/>
  <c r="AJ12" i="5" a="1"/>
  <c r="AJ12" i="5" s="1"/>
  <c r="AI12" i="5" a="1"/>
  <c r="AI12" i="5" s="1"/>
  <c r="AH12" i="5" a="1"/>
  <c r="AH12" i="5" s="1"/>
  <c r="AG12" i="5"/>
  <c r="AG12" i="5" a="1"/>
  <c r="AF12" i="5" a="1"/>
  <c r="AF12" i="5" s="1"/>
  <c r="AE12" i="5"/>
  <c r="AE12" i="5" a="1"/>
  <c r="AD12" i="5" a="1"/>
  <c r="AD12" i="5" s="1"/>
  <c r="AC12" i="5" a="1"/>
  <c r="AC12" i="5" s="1"/>
  <c r="AB12" i="5" a="1"/>
  <c r="AB12" i="5" s="1"/>
  <c r="AA12" i="5" a="1"/>
  <c r="AA12" i="5" s="1"/>
  <c r="Z12" i="5" a="1"/>
  <c r="Z12" i="5" s="1"/>
  <c r="Y12" i="5"/>
  <c r="Y12" i="5" a="1"/>
  <c r="X12" i="5" a="1"/>
  <c r="X12" i="5" s="1"/>
  <c r="W12" i="5" a="1"/>
  <c r="W12" i="5" s="1"/>
  <c r="V12" i="5" a="1"/>
  <c r="V12" i="5" s="1"/>
  <c r="AJ11" i="5" a="1"/>
  <c r="AJ11" i="5" s="1"/>
  <c r="AI11" i="5" a="1"/>
  <c r="AI11" i="5" s="1"/>
  <c r="AH11" i="5" a="1"/>
  <c r="AH11" i="5" s="1"/>
  <c r="AG11" i="5" a="1"/>
  <c r="AG11" i="5" s="1"/>
  <c r="AF11" i="5"/>
  <c r="AF11" i="5" a="1"/>
  <c r="AE11" i="5" a="1"/>
  <c r="AE11" i="5" s="1"/>
  <c r="AD11" i="5" a="1"/>
  <c r="AD11" i="5" s="1"/>
  <c r="AC11" i="5" a="1"/>
  <c r="AC11" i="5" s="1"/>
  <c r="AB11" i="5" a="1"/>
  <c r="AB11" i="5" s="1"/>
  <c r="AA11" i="5" a="1"/>
  <c r="AA11" i="5" s="1"/>
  <c r="Z11" i="5" a="1"/>
  <c r="Z11" i="5" s="1"/>
  <c r="Y11" i="5" a="1"/>
  <c r="Y11" i="5" s="1"/>
  <c r="X11" i="5"/>
  <c r="X11" i="5" a="1"/>
  <c r="W11" i="5" a="1"/>
  <c r="W11" i="5" s="1"/>
  <c r="V11" i="5"/>
  <c r="V11" i="5" a="1"/>
  <c r="AJ10" i="5" a="1"/>
  <c r="AJ10" i="5" s="1"/>
  <c r="AI10" i="5" a="1"/>
  <c r="AI10" i="5" s="1"/>
  <c r="AH10" i="5" a="1"/>
  <c r="AH10" i="5" s="1"/>
  <c r="AG10" i="5" a="1"/>
  <c r="AG10" i="5" s="1"/>
  <c r="AF10" i="5" a="1"/>
  <c r="AF10" i="5" s="1"/>
  <c r="AE10" i="5"/>
  <c r="AE10" i="5" a="1"/>
  <c r="AD10" i="5" a="1"/>
  <c r="AD10" i="5" s="1"/>
  <c r="AC10" i="5"/>
  <c r="AC10" i="5" a="1"/>
  <c r="AB10" i="5" a="1"/>
  <c r="AB10" i="5" s="1"/>
  <c r="AA10" i="5" a="1"/>
  <c r="AA10" i="5" s="1"/>
  <c r="Z10" i="5" a="1"/>
  <c r="Z10" i="5" s="1"/>
  <c r="Y10" i="5" a="1"/>
  <c r="Y10" i="5" s="1"/>
  <c r="X10" i="5" a="1"/>
  <c r="X10" i="5" s="1"/>
  <c r="W10" i="5"/>
  <c r="W10" i="5" a="1"/>
  <c r="V10" i="5" a="1"/>
  <c r="V10" i="5" s="1"/>
  <c r="AJ9" i="5" a="1"/>
  <c r="AJ9" i="5" s="1"/>
  <c r="AI9" i="5" a="1"/>
  <c r="AI9" i="5" s="1"/>
  <c r="AH9" i="5" a="1"/>
  <c r="AH9" i="5" s="1"/>
  <c r="AG9" i="5" a="1"/>
  <c r="AG9" i="5" s="1"/>
  <c r="AF9" i="5" a="1"/>
  <c r="AF9" i="5" s="1"/>
  <c r="AE9" i="5" a="1"/>
  <c r="AE9" i="5" s="1"/>
  <c r="AD9" i="5"/>
  <c r="AD9" i="5" a="1"/>
  <c r="AC9" i="5" a="1"/>
  <c r="AC9" i="5" s="1"/>
  <c r="AB9" i="5" a="1"/>
  <c r="AB9" i="5" s="1"/>
  <c r="AA9" i="5" a="1"/>
  <c r="AA9" i="5" s="1"/>
  <c r="Z9" i="5" a="1"/>
  <c r="Z9" i="5" s="1"/>
  <c r="Y9" i="5" a="1"/>
  <c r="Y9" i="5" s="1"/>
  <c r="X9" i="5" a="1"/>
  <c r="X9" i="5" s="1"/>
  <c r="W9" i="5" a="1"/>
  <c r="W9" i="5" s="1"/>
  <c r="V9" i="5"/>
  <c r="V9" i="5" a="1"/>
  <c r="AJ8" i="5" a="1"/>
  <c r="AJ8" i="5" s="1"/>
  <c r="AI8" i="5" a="1"/>
  <c r="AI8" i="5" s="1"/>
  <c r="AH8" i="5" a="1"/>
  <c r="AH8" i="5" s="1"/>
  <c r="AG8" i="5" a="1"/>
  <c r="AG8" i="5" s="1"/>
  <c r="AF8" i="5" a="1"/>
  <c r="AF8" i="5" s="1"/>
  <c r="AE8" i="5" a="1"/>
  <c r="AE8" i="5" s="1"/>
  <c r="AD8" i="5" a="1"/>
  <c r="AD8" i="5" s="1"/>
  <c r="AC8" i="5"/>
  <c r="AC8" i="5" a="1"/>
  <c r="AB8" i="5" a="1"/>
  <c r="AB8" i="5" s="1"/>
  <c r="AA8" i="5"/>
  <c r="AA8" i="5" a="1"/>
  <c r="Z8" i="5" a="1"/>
  <c r="Z8" i="5" s="1"/>
  <c r="Y8" i="5" a="1"/>
  <c r="Y8" i="5" s="1"/>
  <c r="X8" i="5" a="1"/>
  <c r="X8" i="5" s="1"/>
  <c r="W8" i="5" a="1"/>
  <c r="W8" i="5" s="1"/>
  <c r="V8" i="5" a="1"/>
  <c r="V8" i="5" s="1"/>
  <c r="AJ7" i="5"/>
  <c r="AJ7" i="5" a="1"/>
  <c r="AI7" i="5" a="1"/>
  <c r="AI7" i="5" s="1"/>
  <c r="AH7" i="5" a="1"/>
  <c r="AH7" i="5" s="1"/>
  <c r="AG7" i="5" a="1"/>
  <c r="AG7" i="5" s="1"/>
  <c r="AF7" i="5" a="1"/>
  <c r="AF7" i="5" s="1"/>
  <c r="AE7" i="5" a="1"/>
  <c r="AE7" i="5" s="1"/>
  <c r="AD7" i="5" a="1"/>
  <c r="AD7" i="5" s="1"/>
  <c r="AC7" i="5" a="1"/>
  <c r="AC7" i="5" s="1"/>
  <c r="AB7" i="5"/>
  <c r="AB7" i="5" a="1"/>
  <c r="AA7" i="5" a="1"/>
  <c r="AA7" i="5" s="1"/>
  <c r="Z7" i="5" a="1"/>
  <c r="Z7" i="5" s="1"/>
  <c r="Y7" i="5" a="1"/>
  <c r="Y7" i="5" s="1"/>
  <c r="X7" i="5" a="1"/>
  <c r="X7" i="5" s="1"/>
  <c r="W7" i="5" a="1"/>
  <c r="W7" i="5" s="1"/>
  <c r="V7" i="5" a="1"/>
  <c r="V7" i="5" s="1"/>
  <c r="AJ6" i="5" a="1"/>
  <c r="AJ6" i="5" s="1"/>
  <c r="AI6" i="5"/>
  <c r="AI6" i="5" a="1"/>
  <c r="AH6" i="5" a="1"/>
  <c r="AH6" i="5" s="1"/>
  <c r="AG6" i="5" a="1"/>
  <c r="AG6" i="5" s="1"/>
  <c r="AF6" i="5" a="1"/>
  <c r="AF6" i="5" s="1"/>
  <c r="AE6" i="5" a="1"/>
  <c r="AE6" i="5" s="1"/>
  <c r="AD6" i="5" a="1"/>
  <c r="AD6" i="5" s="1"/>
  <c r="AC6" i="5" a="1"/>
  <c r="AC6" i="5" s="1"/>
  <c r="AB6" i="5" a="1"/>
  <c r="AB6" i="5" s="1"/>
  <c r="AA6" i="5"/>
  <c r="AA6" i="5" a="1"/>
  <c r="Z6" i="5" a="1"/>
  <c r="Z6" i="5" s="1"/>
  <c r="Y6" i="5"/>
  <c r="Y6" i="5" a="1"/>
  <c r="X6" i="5" a="1"/>
  <c r="X6" i="5" s="1"/>
  <c r="W6" i="5" a="1"/>
  <c r="W6" i="5" s="1"/>
  <c r="V6" i="5" a="1"/>
  <c r="V6" i="5" s="1"/>
  <c r="AJ5" i="5" a="1"/>
  <c r="AJ5" i="5" s="1"/>
  <c r="AI5" i="5" a="1"/>
  <c r="AI5" i="5" s="1"/>
  <c r="AH5" i="5"/>
  <c r="AH5" i="5" a="1"/>
  <c r="AG5" i="5" a="1"/>
  <c r="AG5" i="5" s="1"/>
  <c r="AF5" i="5" a="1"/>
  <c r="AF5" i="5" s="1"/>
  <c r="AE5" i="5" a="1"/>
  <c r="AE5" i="5" s="1"/>
  <c r="AD5" i="5" a="1"/>
  <c r="AD5" i="5" s="1"/>
  <c r="AC5" i="5" a="1"/>
  <c r="AC5" i="5" s="1"/>
  <c r="AB5" i="5" a="1"/>
  <c r="AB5" i="5" s="1"/>
  <c r="AA5" i="5" a="1"/>
  <c r="AA5" i="5" s="1"/>
  <c r="Z5" i="5"/>
  <c r="Z5" i="5" a="1"/>
  <c r="Y5" i="5" a="1"/>
  <c r="Y5" i="5" s="1"/>
  <c r="X5" i="5" a="1"/>
  <c r="X5" i="5" s="1"/>
  <c r="W5" i="5" a="1"/>
  <c r="W5" i="5" s="1"/>
  <c r="V5" i="5"/>
  <c r="V5" i="5" a="1"/>
  <c r="AJ4" i="5" a="1"/>
  <c r="AJ4" i="5" s="1"/>
  <c r="AI4" i="5" a="1"/>
  <c r="AI4" i="5" s="1"/>
  <c r="AH4" i="5" a="1"/>
  <c r="AH4" i="5" s="1"/>
  <c r="AG4" i="5"/>
  <c r="AG4" i="5" a="1"/>
  <c r="AF4" i="5"/>
  <c r="AF4" i="5" a="1"/>
  <c r="AE4" i="5"/>
  <c r="AE4" i="5" a="1"/>
  <c r="AD4" i="5" a="1"/>
  <c r="AD4" i="5" s="1"/>
  <c r="AC4" i="5" a="1"/>
  <c r="AC4" i="5" s="1"/>
  <c r="AB4" i="5" a="1"/>
  <c r="AB4" i="5" s="1"/>
  <c r="AA4" i="5" a="1"/>
  <c r="AA4" i="5" s="1"/>
  <c r="Z4" i="5" a="1"/>
  <c r="Z4" i="5" s="1"/>
  <c r="Y4" i="5"/>
  <c r="Y4" i="5" a="1"/>
  <c r="X4" i="5"/>
  <c r="X4" i="5" a="1"/>
  <c r="W4" i="5" a="1"/>
  <c r="W4" i="5" s="1"/>
  <c r="V4" i="5" a="1"/>
  <c r="V4" i="5" s="1"/>
  <c r="AJ3" i="5" a="1"/>
  <c r="AJ3" i="5" s="1"/>
  <c r="AI3" i="5" a="1"/>
  <c r="AI3" i="5" s="1"/>
  <c r="AH3" i="5" a="1"/>
  <c r="AH3" i="5" s="1"/>
  <c r="AG3" i="5" a="1"/>
  <c r="AG3" i="5" s="1"/>
  <c r="AF3" i="5"/>
  <c r="AF3" i="5" a="1"/>
  <c r="AE3" i="5" a="1"/>
  <c r="AE3" i="5" s="1"/>
  <c r="AD3" i="5" a="1"/>
  <c r="AD3" i="5" s="1"/>
  <c r="AC3" i="5" a="1"/>
  <c r="AC3" i="5" s="1"/>
  <c r="AB3" i="5"/>
  <c r="AB3" i="5" a="1"/>
  <c r="AA3" i="5" a="1"/>
  <c r="AA3" i="5" s="1"/>
  <c r="Z3" i="5" a="1"/>
  <c r="Z3" i="5" s="1"/>
  <c r="Y3" i="5"/>
  <c r="Y3" i="5" a="1"/>
  <c r="X3" i="5"/>
  <c r="X3" i="5" a="1"/>
  <c r="W3" i="5" a="1"/>
  <c r="W3" i="5" s="1"/>
  <c r="V3" i="5"/>
  <c r="V3" i="5" a="1"/>
  <c r="AJ2" i="5" a="1"/>
  <c r="AJ2" i="5" s="1"/>
  <c r="AI2" i="5" a="1"/>
  <c r="AI2" i="5" s="1"/>
  <c r="AH2" i="5" a="1"/>
  <c r="AH2" i="5" s="1"/>
  <c r="AG2" i="5" a="1"/>
  <c r="AG2" i="5" s="1"/>
  <c r="AF2" i="5" a="1"/>
  <c r="AF2" i="5" s="1"/>
  <c r="AE2" i="5"/>
  <c r="AE2" i="5" a="1"/>
  <c r="AD2" i="5" a="1"/>
  <c r="AD2" i="5" s="1"/>
  <c r="AC2" i="5" a="1"/>
  <c r="AC2" i="5" s="1"/>
  <c r="AB2" i="5" a="1"/>
  <c r="AB2" i="5" s="1"/>
  <c r="AA2" i="5"/>
  <c r="AA2" i="5" a="1"/>
  <c r="Z2" i="5" a="1"/>
  <c r="Z2" i="5" s="1"/>
  <c r="Y2" i="5" a="1"/>
  <c r="Y2" i="5" s="1"/>
  <c r="X2" i="5" a="1"/>
  <c r="X2" i="5" s="1"/>
  <c r="W2" i="5"/>
  <c r="W2" i="5" a="1"/>
  <c r="V2" i="5" a="1"/>
  <c r="V2" i="5" s="1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C83" i="5"/>
  <c r="D83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C84" i="5"/>
  <c r="D84" i="5"/>
  <c r="E84" i="5"/>
  <c r="F84" i="5"/>
  <c r="G84" i="5"/>
  <c r="H84" i="5"/>
  <c r="I84" i="5"/>
  <c r="J84" i="5"/>
  <c r="K84" i="5"/>
  <c r="L84" i="5"/>
  <c r="M84" i="5"/>
  <c r="N84" i="5"/>
  <c r="O84" i="5"/>
  <c r="P84" i="5"/>
  <c r="Q84" i="5"/>
  <c r="C85" i="5"/>
  <c r="D85" i="5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C86" i="5"/>
  <c r="D86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C87" i="5"/>
  <c r="D87" i="5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C88" i="5"/>
  <c r="D88" i="5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C89" i="5"/>
  <c r="D89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C90" i="5"/>
  <c r="D90" i="5"/>
  <c r="E90" i="5"/>
  <c r="F90" i="5"/>
  <c r="G90" i="5"/>
  <c r="H90" i="5"/>
  <c r="I90" i="5"/>
  <c r="J90" i="5"/>
  <c r="K90" i="5"/>
  <c r="L90" i="5"/>
  <c r="M90" i="5"/>
  <c r="N90" i="5"/>
  <c r="O90" i="5"/>
  <c r="P90" i="5"/>
  <c r="Q90" i="5"/>
  <c r="C91" i="5"/>
  <c r="D91" i="5"/>
  <c r="E91" i="5"/>
  <c r="F91" i="5"/>
  <c r="G91" i="5"/>
  <c r="H91" i="5"/>
  <c r="I91" i="5"/>
  <c r="J91" i="5"/>
  <c r="K91" i="5"/>
  <c r="L91" i="5"/>
  <c r="M91" i="5"/>
  <c r="N91" i="5"/>
  <c r="O91" i="5"/>
  <c r="P91" i="5"/>
  <c r="Q91" i="5"/>
  <c r="C92" i="5"/>
  <c r="D92" i="5"/>
  <c r="E92" i="5"/>
  <c r="F92" i="5"/>
  <c r="G92" i="5"/>
  <c r="H92" i="5"/>
  <c r="I92" i="5"/>
  <c r="J92" i="5"/>
  <c r="K92" i="5"/>
  <c r="L92" i="5"/>
  <c r="M92" i="5"/>
  <c r="N92" i="5"/>
  <c r="O92" i="5"/>
  <c r="P92" i="5"/>
  <c r="Q92" i="5"/>
  <c r="C93" i="5"/>
  <c r="D93" i="5"/>
  <c r="E93" i="5"/>
  <c r="F93" i="5"/>
  <c r="G93" i="5"/>
  <c r="H93" i="5"/>
  <c r="I93" i="5"/>
  <c r="J93" i="5"/>
  <c r="K93" i="5"/>
  <c r="L93" i="5"/>
  <c r="M93" i="5"/>
  <c r="N93" i="5"/>
  <c r="O93" i="5"/>
  <c r="P93" i="5"/>
  <c r="Q93" i="5"/>
  <c r="C94" i="5"/>
  <c r="D94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C95" i="5"/>
  <c r="D95" i="5"/>
  <c r="E95" i="5"/>
  <c r="F95" i="5"/>
  <c r="G95" i="5"/>
  <c r="H95" i="5"/>
  <c r="I95" i="5"/>
  <c r="J95" i="5"/>
  <c r="K95" i="5"/>
  <c r="L95" i="5"/>
  <c r="M95" i="5"/>
  <c r="N95" i="5"/>
  <c r="O95" i="5"/>
  <c r="P95" i="5"/>
  <c r="Q95" i="5"/>
  <c r="C96" i="5"/>
  <c r="D96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C97" i="5"/>
  <c r="D97" i="5"/>
  <c r="E97" i="5"/>
  <c r="F97" i="5"/>
  <c r="G97" i="5"/>
  <c r="H97" i="5"/>
  <c r="I97" i="5"/>
  <c r="J97" i="5"/>
  <c r="K97" i="5"/>
  <c r="L97" i="5"/>
  <c r="M97" i="5"/>
  <c r="N97" i="5"/>
  <c r="O97" i="5"/>
  <c r="P97" i="5"/>
  <c r="Q97" i="5"/>
  <c r="C98" i="5"/>
  <c r="D98" i="5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C99" i="5"/>
  <c r="D99" i="5"/>
  <c r="E99" i="5"/>
  <c r="F99" i="5"/>
  <c r="G99" i="5"/>
  <c r="H99" i="5"/>
  <c r="I99" i="5"/>
  <c r="J99" i="5"/>
  <c r="K99" i="5"/>
  <c r="L99" i="5"/>
  <c r="M99" i="5"/>
  <c r="N99" i="5"/>
  <c r="O99" i="5"/>
  <c r="P99" i="5"/>
  <c r="Q99" i="5"/>
  <c r="C100" i="5"/>
  <c r="D100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C101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P101" i="5"/>
  <c r="Q101" i="5"/>
  <c r="C102" i="5"/>
  <c r="D102" i="5"/>
  <c r="E102" i="5"/>
  <c r="F102" i="5"/>
  <c r="G102" i="5"/>
  <c r="H102" i="5"/>
  <c r="I102" i="5"/>
  <c r="J102" i="5"/>
  <c r="K102" i="5"/>
  <c r="L102" i="5"/>
  <c r="M102" i="5"/>
  <c r="N102" i="5"/>
  <c r="O102" i="5"/>
  <c r="P102" i="5"/>
  <c r="Q102" i="5"/>
  <c r="C103" i="5"/>
  <c r="D103" i="5"/>
  <c r="E103" i="5"/>
  <c r="F103" i="5"/>
  <c r="G103" i="5"/>
  <c r="H103" i="5"/>
  <c r="I103" i="5"/>
  <c r="J103" i="5"/>
  <c r="K103" i="5"/>
  <c r="L103" i="5"/>
  <c r="M103" i="5"/>
  <c r="N103" i="5"/>
  <c r="O103" i="5"/>
  <c r="P103" i="5"/>
  <c r="Q103" i="5"/>
  <c r="C104" i="5"/>
  <c r="D104" i="5"/>
  <c r="E104" i="5"/>
  <c r="F104" i="5"/>
  <c r="G104" i="5"/>
  <c r="H104" i="5"/>
  <c r="I104" i="5"/>
  <c r="J104" i="5"/>
  <c r="K104" i="5"/>
  <c r="L104" i="5"/>
  <c r="M104" i="5"/>
  <c r="N104" i="5"/>
  <c r="O104" i="5"/>
  <c r="P104" i="5"/>
  <c r="Q104" i="5"/>
  <c r="C105" i="5"/>
  <c r="D105" i="5"/>
  <c r="E105" i="5"/>
  <c r="F105" i="5"/>
  <c r="G105" i="5"/>
  <c r="H105" i="5"/>
  <c r="I105" i="5"/>
  <c r="J105" i="5"/>
  <c r="K105" i="5"/>
  <c r="L105" i="5"/>
  <c r="M105" i="5"/>
  <c r="N105" i="5"/>
  <c r="O105" i="5"/>
  <c r="P105" i="5"/>
  <c r="Q105" i="5"/>
  <c r="C106" i="5"/>
  <c r="D106" i="5"/>
  <c r="E106" i="5"/>
  <c r="F106" i="5"/>
  <c r="G106" i="5"/>
  <c r="H106" i="5"/>
  <c r="I106" i="5"/>
  <c r="J106" i="5"/>
  <c r="K106" i="5"/>
  <c r="L106" i="5"/>
  <c r="M106" i="5"/>
  <c r="N106" i="5"/>
  <c r="O106" i="5"/>
  <c r="P106" i="5"/>
  <c r="Q106" i="5"/>
  <c r="AA23" i="1"/>
  <c r="AA34" i="1"/>
  <c r="Z23" i="1"/>
  <c r="Z34" i="1"/>
  <c r="Y24" i="1"/>
  <c r="Y34" i="1"/>
  <c r="E4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P4" i="2"/>
  <c r="O4" i="2"/>
  <c r="N4" i="2"/>
  <c r="M4" i="2"/>
  <c r="L4" i="2"/>
  <c r="K4" i="2"/>
  <c r="J4" i="2"/>
  <c r="I4" i="2"/>
  <c r="H4" i="2"/>
  <c r="G4" i="2"/>
  <c r="F4" i="2"/>
  <c r="D4" i="2"/>
  <c r="C4" i="2"/>
  <c r="B4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U34" i="1"/>
  <c r="T34" i="1"/>
  <c r="S34" i="1"/>
  <c r="AG17" i="1"/>
  <c r="AH16" i="1"/>
  <c r="T2" i="1" a="1"/>
  <c r="T2" i="1"/>
  <c r="U2" i="1" a="1"/>
  <c r="U2" i="1" s="1"/>
  <c r="V2" i="1" a="1"/>
  <c r="V2" i="1" s="1"/>
  <c r="W2" i="1" a="1"/>
  <c r="W2" i="1" s="1"/>
  <c r="X2" i="1" a="1"/>
  <c r="X2" i="1" s="1"/>
  <c r="Y2" i="1" a="1"/>
  <c r="Y2" i="1" s="1"/>
  <c r="Z2" i="1" a="1"/>
  <c r="Z2" i="1" s="1"/>
  <c r="AA2" i="1" a="1"/>
  <c r="AA2" i="1" s="1"/>
  <c r="AB2" i="1" a="1"/>
  <c r="AB2" i="1" s="1"/>
  <c r="AC2" i="1" a="1"/>
  <c r="AC2" i="1" s="1"/>
  <c r="AD2" i="1" a="1"/>
  <c r="AD2" i="1" s="1"/>
  <c r="AE2" i="1" a="1"/>
  <c r="AE2" i="1" s="1"/>
  <c r="AF2" i="1" a="1"/>
  <c r="AF2" i="1" s="1"/>
  <c r="AG2" i="1" a="1"/>
  <c r="AG2" i="1" s="1"/>
  <c r="T3" i="1" a="1"/>
  <c r="T3" i="1" s="1"/>
  <c r="U3" i="1" a="1"/>
  <c r="U3" i="1"/>
  <c r="V3" i="1" a="1"/>
  <c r="V3" i="1" s="1"/>
  <c r="W3" i="1" a="1"/>
  <c r="W3" i="1" s="1"/>
  <c r="X3" i="1" a="1"/>
  <c r="X3" i="1" s="1"/>
  <c r="Y3" i="1" a="1"/>
  <c r="Y3" i="1" s="1"/>
  <c r="Z3" i="1" a="1"/>
  <c r="Z3" i="1" s="1"/>
  <c r="AA3" i="1" a="1"/>
  <c r="AA3" i="1" s="1"/>
  <c r="AB3" i="1" a="1"/>
  <c r="AB3" i="1" s="1"/>
  <c r="AC3" i="1" a="1"/>
  <c r="AC3" i="1" s="1"/>
  <c r="AD3" i="1" a="1"/>
  <c r="AD3" i="1" s="1"/>
  <c r="AE3" i="1" a="1"/>
  <c r="AE3" i="1" s="1"/>
  <c r="AF3" i="1" a="1"/>
  <c r="AF3" i="1" s="1"/>
  <c r="AG3" i="1" a="1"/>
  <c r="AG3" i="1" s="1"/>
  <c r="T4" i="1" a="1"/>
  <c r="T4" i="1" s="1"/>
  <c r="U4" i="1" a="1"/>
  <c r="U4" i="1" s="1"/>
  <c r="V4" i="1" a="1"/>
  <c r="V4" i="1" s="1"/>
  <c r="W4" i="1" a="1"/>
  <c r="W4" i="1" s="1"/>
  <c r="X4" i="1" a="1"/>
  <c r="X4" i="1" s="1"/>
  <c r="Y4" i="1" a="1"/>
  <c r="Y4" i="1" s="1"/>
  <c r="Z4" i="1" a="1"/>
  <c r="Z4" i="1" s="1"/>
  <c r="AA4" i="1" a="1"/>
  <c r="AA4" i="1" s="1"/>
  <c r="AB4" i="1" a="1"/>
  <c r="AB4" i="1" s="1"/>
  <c r="AC4" i="1" a="1"/>
  <c r="AC4" i="1" s="1"/>
  <c r="AD4" i="1" a="1"/>
  <c r="AD4" i="1" s="1"/>
  <c r="AE4" i="1" a="1"/>
  <c r="AE4" i="1" s="1"/>
  <c r="AF4" i="1" a="1"/>
  <c r="AF4" i="1" s="1"/>
  <c r="AG4" i="1" a="1"/>
  <c r="AG4" i="1" s="1"/>
  <c r="T5" i="1" a="1"/>
  <c r="T5" i="1" s="1"/>
  <c r="U5" i="1" a="1"/>
  <c r="U5" i="1" s="1"/>
  <c r="V5" i="1" a="1"/>
  <c r="V5" i="1" s="1"/>
  <c r="W5" i="1" a="1"/>
  <c r="W5" i="1" s="1"/>
  <c r="X5" i="1" a="1"/>
  <c r="X5" i="1" s="1"/>
  <c r="Y5" i="1" a="1"/>
  <c r="Y5" i="1" s="1"/>
  <c r="Z5" i="1" a="1"/>
  <c r="Z5" i="1" s="1"/>
  <c r="AA5" i="1" a="1"/>
  <c r="AA5" i="1" s="1"/>
  <c r="AB5" i="1" a="1"/>
  <c r="AB5" i="1" s="1"/>
  <c r="AC5" i="1" a="1"/>
  <c r="AC5" i="1" s="1"/>
  <c r="AD5" i="1" a="1"/>
  <c r="AD5" i="1" s="1"/>
  <c r="AE5" i="1" a="1"/>
  <c r="AE5" i="1" s="1"/>
  <c r="AF5" i="1" a="1"/>
  <c r="AF5" i="1" s="1"/>
  <c r="AG5" i="1" a="1"/>
  <c r="AG5" i="1" s="1"/>
  <c r="T6" i="1" a="1"/>
  <c r="T6" i="1" s="1"/>
  <c r="U6" i="1" a="1"/>
  <c r="U6" i="1" s="1"/>
  <c r="V6" i="1" a="1"/>
  <c r="V6" i="1" s="1"/>
  <c r="W6" i="1" a="1"/>
  <c r="W6" i="1" s="1"/>
  <c r="X6" i="1" a="1"/>
  <c r="X6" i="1" s="1"/>
  <c r="Y6" i="1" a="1"/>
  <c r="Y6" i="1" s="1"/>
  <c r="Z6" i="1" a="1"/>
  <c r="Z6" i="1" s="1"/>
  <c r="AA6" i="1" a="1"/>
  <c r="AA6" i="1" s="1"/>
  <c r="AB6" i="1" a="1"/>
  <c r="AB6" i="1" s="1"/>
  <c r="AC6" i="1" a="1"/>
  <c r="AC6" i="1" s="1"/>
  <c r="AD6" i="1" a="1"/>
  <c r="AD6" i="1" s="1"/>
  <c r="AE6" i="1" a="1"/>
  <c r="AE6" i="1" s="1"/>
  <c r="AF6" i="1" a="1"/>
  <c r="AF6" i="1" s="1"/>
  <c r="AG6" i="1" a="1"/>
  <c r="AG6" i="1" s="1"/>
  <c r="T7" i="1" a="1"/>
  <c r="T7" i="1" s="1"/>
  <c r="U7" i="1" a="1"/>
  <c r="U7" i="1" s="1"/>
  <c r="V7" i="1" a="1"/>
  <c r="V7" i="1" s="1"/>
  <c r="W7" i="1" a="1"/>
  <c r="W7" i="1" s="1"/>
  <c r="X7" i="1" a="1"/>
  <c r="X7" i="1" s="1"/>
  <c r="Y7" i="1" a="1"/>
  <c r="Y7" i="1" s="1"/>
  <c r="Z7" i="1" a="1"/>
  <c r="Z7" i="1" s="1"/>
  <c r="AA7" i="1" a="1"/>
  <c r="AA7" i="1" s="1"/>
  <c r="AB7" i="1" a="1"/>
  <c r="AB7" i="1" s="1"/>
  <c r="AC7" i="1" a="1"/>
  <c r="AC7" i="1" s="1"/>
  <c r="AD7" i="1" a="1"/>
  <c r="AD7" i="1" s="1"/>
  <c r="AE7" i="1" a="1"/>
  <c r="AE7" i="1" s="1"/>
  <c r="AF7" i="1" a="1"/>
  <c r="AF7" i="1" s="1"/>
  <c r="AG7" i="1" a="1"/>
  <c r="AG7" i="1" s="1"/>
  <c r="T8" i="1" a="1"/>
  <c r="T8" i="1" s="1"/>
  <c r="U8" i="1" a="1"/>
  <c r="U8" i="1" s="1"/>
  <c r="V8" i="1" a="1"/>
  <c r="V8" i="1" s="1"/>
  <c r="W8" i="1" a="1"/>
  <c r="W8" i="1" s="1"/>
  <c r="X8" i="1" a="1"/>
  <c r="X8" i="1" s="1"/>
  <c r="Y8" i="1" a="1"/>
  <c r="Y8" i="1" s="1"/>
  <c r="Z8" i="1" a="1"/>
  <c r="Z8" i="1" s="1"/>
  <c r="AA8" i="1" a="1"/>
  <c r="AA8" i="1" s="1"/>
  <c r="AB8" i="1" a="1"/>
  <c r="AB8" i="1" s="1"/>
  <c r="AC8" i="1" a="1"/>
  <c r="AC8" i="1" s="1"/>
  <c r="AD8" i="1" a="1"/>
  <c r="AD8" i="1" s="1"/>
  <c r="AE8" i="1" a="1"/>
  <c r="AE8" i="1" s="1"/>
  <c r="AF8" i="1" a="1"/>
  <c r="AF8" i="1" s="1"/>
  <c r="AG8" i="1" a="1"/>
  <c r="AG8" i="1" s="1"/>
  <c r="T9" i="1" a="1"/>
  <c r="T9" i="1" s="1"/>
  <c r="U9" i="1" a="1"/>
  <c r="U9" i="1" s="1"/>
  <c r="V9" i="1" a="1"/>
  <c r="V9" i="1" s="1"/>
  <c r="W9" i="1" a="1"/>
  <c r="W9" i="1" s="1"/>
  <c r="X9" i="1" a="1"/>
  <c r="X9" i="1" s="1"/>
  <c r="Y9" i="1" a="1"/>
  <c r="Y9" i="1" s="1"/>
  <c r="Z9" i="1" a="1"/>
  <c r="Z9" i="1" s="1"/>
  <c r="AA9" i="1" a="1"/>
  <c r="AA9" i="1" s="1"/>
  <c r="AB9" i="1" a="1"/>
  <c r="AB9" i="1" s="1"/>
  <c r="AC9" i="1" a="1"/>
  <c r="AC9" i="1" s="1"/>
  <c r="AD9" i="1" a="1"/>
  <c r="AD9" i="1" s="1"/>
  <c r="AE9" i="1" a="1"/>
  <c r="AE9" i="1" s="1"/>
  <c r="AF9" i="1" a="1"/>
  <c r="AF9" i="1" s="1"/>
  <c r="AG9" i="1" a="1"/>
  <c r="AG9" i="1" s="1"/>
  <c r="T10" i="1" a="1"/>
  <c r="T10" i="1" s="1"/>
  <c r="U10" i="1" a="1"/>
  <c r="U10" i="1" s="1"/>
  <c r="V10" i="1" a="1"/>
  <c r="V10" i="1" s="1"/>
  <c r="W10" i="1" a="1"/>
  <c r="W10" i="1" s="1"/>
  <c r="X10" i="1" a="1"/>
  <c r="X10" i="1" s="1"/>
  <c r="Y10" i="1" a="1"/>
  <c r="Y10" i="1" s="1"/>
  <c r="Z10" i="1" a="1"/>
  <c r="Z10" i="1" s="1"/>
  <c r="AA10" i="1" a="1"/>
  <c r="AA10" i="1" s="1"/>
  <c r="AB10" i="1" a="1"/>
  <c r="AB10" i="1" s="1"/>
  <c r="AC10" i="1" a="1"/>
  <c r="AC10" i="1" s="1"/>
  <c r="AD10" i="1" a="1"/>
  <c r="AD10" i="1" s="1"/>
  <c r="AE10" i="1" a="1"/>
  <c r="AE10" i="1" s="1"/>
  <c r="AF10" i="1" a="1"/>
  <c r="AF10" i="1" s="1"/>
  <c r="AG10" i="1" a="1"/>
  <c r="AG10" i="1" s="1"/>
  <c r="T11" i="1" a="1"/>
  <c r="T11" i="1" s="1"/>
  <c r="U11" i="1" a="1"/>
  <c r="U11" i="1" s="1"/>
  <c r="V11" i="1" a="1"/>
  <c r="V11" i="1" s="1"/>
  <c r="W11" i="1" a="1"/>
  <c r="W11" i="1" s="1"/>
  <c r="X11" i="1" a="1"/>
  <c r="X11" i="1" s="1"/>
  <c r="Y11" i="1" a="1"/>
  <c r="Y11" i="1" s="1"/>
  <c r="Z11" i="1" a="1"/>
  <c r="Z11" i="1" s="1"/>
  <c r="AA11" i="1" a="1"/>
  <c r="AA11" i="1" s="1"/>
  <c r="AB11" i="1" a="1"/>
  <c r="AB11" i="1" s="1"/>
  <c r="AC11" i="1" a="1"/>
  <c r="AC11" i="1" s="1"/>
  <c r="AD11" i="1" a="1"/>
  <c r="AD11" i="1" s="1"/>
  <c r="AE11" i="1" a="1"/>
  <c r="AE11" i="1" s="1"/>
  <c r="AF11" i="1" a="1"/>
  <c r="AF11" i="1" s="1"/>
  <c r="AG11" i="1" a="1"/>
  <c r="AG11" i="1" s="1"/>
  <c r="T12" i="1" a="1"/>
  <c r="T12" i="1" s="1"/>
  <c r="U12" i="1" a="1"/>
  <c r="U12" i="1" s="1"/>
  <c r="V12" i="1" a="1"/>
  <c r="V12" i="1" s="1"/>
  <c r="W12" i="1" a="1"/>
  <c r="W12" i="1" s="1"/>
  <c r="X12" i="1" a="1"/>
  <c r="X12" i="1" s="1"/>
  <c r="Y12" i="1" a="1"/>
  <c r="Y12" i="1" s="1"/>
  <c r="Z12" i="1" a="1"/>
  <c r="Z12" i="1" s="1"/>
  <c r="AA12" i="1" a="1"/>
  <c r="AA12" i="1" s="1"/>
  <c r="AB12" i="1" a="1"/>
  <c r="AB12" i="1" s="1"/>
  <c r="AC12" i="1" a="1"/>
  <c r="AC12" i="1" s="1"/>
  <c r="AD12" i="1" a="1"/>
  <c r="AD12" i="1" s="1"/>
  <c r="AE12" i="1" a="1"/>
  <c r="AE12" i="1" s="1"/>
  <c r="AF12" i="1" a="1"/>
  <c r="AF12" i="1" s="1"/>
  <c r="AG12" i="1" a="1"/>
  <c r="AG12" i="1" s="1"/>
  <c r="T13" i="1" a="1"/>
  <c r="T13" i="1" s="1"/>
  <c r="U13" i="1" a="1"/>
  <c r="U13" i="1" s="1"/>
  <c r="V13" i="1" a="1"/>
  <c r="V13" i="1" s="1"/>
  <c r="W13" i="1" a="1"/>
  <c r="W13" i="1" s="1"/>
  <c r="X13" i="1" a="1"/>
  <c r="X13" i="1" s="1"/>
  <c r="Y13" i="1" a="1"/>
  <c r="Y13" i="1" s="1"/>
  <c r="Z13" i="1" a="1"/>
  <c r="Z13" i="1" s="1"/>
  <c r="AA13" i="1" a="1"/>
  <c r="AA13" i="1" s="1"/>
  <c r="AB13" i="1" a="1"/>
  <c r="AB13" i="1" s="1"/>
  <c r="AC13" i="1" a="1"/>
  <c r="AC13" i="1" s="1"/>
  <c r="AD13" i="1" a="1"/>
  <c r="AD13" i="1" s="1"/>
  <c r="AE13" i="1" a="1"/>
  <c r="AE13" i="1" s="1"/>
  <c r="AF13" i="1" a="1"/>
  <c r="AF13" i="1" s="1"/>
  <c r="AG13" i="1" a="1"/>
  <c r="AG13" i="1" s="1"/>
  <c r="T14" i="1" a="1"/>
  <c r="T14" i="1" s="1"/>
  <c r="U14" i="1" a="1"/>
  <c r="U14" i="1" s="1"/>
  <c r="V14" i="1" a="1"/>
  <c r="V14" i="1" s="1"/>
  <c r="W14" i="1" a="1"/>
  <c r="W14" i="1" s="1"/>
  <c r="X14" i="1" a="1"/>
  <c r="X14" i="1" s="1"/>
  <c r="Y14" i="1" a="1"/>
  <c r="Y14" i="1" s="1"/>
  <c r="Z14" i="1" a="1"/>
  <c r="Z14" i="1" s="1"/>
  <c r="AA14" i="1" a="1"/>
  <c r="AA14" i="1" s="1"/>
  <c r="AB14" i="1" a="1"/>
  <c r="AB14" i="1" s="1"/>
  <c r="AC14" i="1" a="1"/>
  <c r="AC14" i="1" s="1"/>
  <c r="AD14" i="1" a="1"/>
  <c r="AD14" i="1" s="1"/>
  <c r="AE14" i="1" a="1"/>
  <c r="AE14" i="1" s="1"/>
  <c r="AF14" i="1" a="1"/>
  <c r="AF14" i="1" s="1"/>
  <c r="AG14" i="1" a="1"/>
  <c r="AG14" i="1" s="1"/>
  <c r="T15" i="1" a="1"/>
  <c r="T15" i="1" s="1"/>
  <c r="U15" i="1" a="1"/>
  <c r="U15" i="1" s="1"/>
  <c r="V15" i="1" a="1"/>
  <c r="V15" i="1" s="1"/>
  <c r="W15" i="1" a="1"/>
  <c r="W15" i="1" s="1"/>
  <c r="X15" i="1" a="1"/>
  <c r="X15" i="1" s="1"/>
  <c r="Y15" i="1" a="1"/>
  <c r="Y15" i="1" s="1"/>
  <c r="Z15" i="1" a="1"/>
  <c r="Z15" i="1" s="1"/>
  <c r="AA15" i="1" a="1"/>
  <c r="AA15" i="1" s="1"/>
  <c r="AB15" i="1" a="1"/>
  <c r="AB15" i="1" s="1"/>
  <c r="AC15" i="1" a="1"/>
  <c r="AC15" i="1" s="1"/>
  <c r="AD15" i="1" a="1"/>
  <c r="AD15" i="1" s="1"/>
  <c r="AE15" i="1" a="1"/>
  <c r="AE15" i="1" s="1"/>
  <c r="AF15" i="1" a="1"/>
  <c r="AF15" i="1" s="1"/>
  <c r="AG15" i="1" a="1"/>
  <c r="AG15" i="1" s="1"/>
  <c r="T16" i="1" a="1"/>
  <c r="T16" i="1" s="1"/>
  <c r="U16" i="1" a="1"/>
  <c r="U16" i="1" s="1"/>
  <c r="V16" i="1" a="1"/>
  <c r="V16" i="1" s="1"/>
  <c r="W16" i="1" a="1"/>
  <c r="W16" i="1" s="1"/>
  <c r="X16" i="1" a="1"/>
  <c r="X16" i="1" s="1"/>
  <c r="Y16" i="1" a="1"/>
  <c r="Y16" i="1" s="1"/>
  <c r="Z16" i="1" a="1"/>
  <c r="Z16" i="1" s="1"/>
  <c r="AA16" i="1" a="1"/>
  <c r="AA16" i="1" s="1"/>
  <c r="AB16" i="1" a="1"/>
  <c r="AB16" i="1" s="1"/>
  <c r="AC16" i="1" a="1"/>
  <c r="AC16" i="1" s="1"/>
  <c r="AD16" i="1" a="1"/>
  <c r="AD16" i="1" s="1"/>
  <c r="AE16" i="1" a="1"/>
  <c r="AE16" i="1" s="1"/>
  <c r="AF16" i="1" a="1"/>
  <c r="AF16" i="1" s="1"/>
  <c r="AG16" i="1" a="1"/>
  <c r="AG16" i="1" s="1"/>
  <c r="S3" i="1" a="1"/>
  <c r="S3" i="1" s="1"/>
  <c r="S4" i="1" a="1"/>
  <c r="S4" i="1" s="1"/>
  <c r="S5" i="1" a="1"/>
  <c r="S5" i="1" s="1"/>
  <c r="S6" i="1" a="1"/>
  <c r="S6" i="1" s="1"/>
  <c r="S7" i="1" a="1"/>
  <c r="S7" i="1" s="1"/>
  <c r="S8" i="1" a="1"/>
  <c r="S8" i="1" s="1"/>
  <c r="S9" i="1" a="1"/>
  <c r="S9" i="1" s="1"/>
  <c r="S10" i="1" a="1"/>
  <c r="S10" i="1" s="1"/>
  <c r="S11" i="1" a="1"/>
  <c r="S11" i="1" s="1"/>
  <c r="S12" i="1" a="1"/>
  <c r="S12" i="1" s="1"/>
  <c r="S13" i="1" a="1"/>
  <c r="S13" i="1" s="1"/>
  <c r="S14" i="1" a="1"/>
  <c r="S14" i="1" s="1"/>
  <c r="S15" i="1" a="1"/>
  <c r="S15" i="1" s="1"/>
  <c r="S16" i="1" a="1"/>
  <c r="S16" i="1" s="1"/>
  <c r="S2" i="1" a="1"/>
  <c r="S2" i="1" s="1"/>
  <c r="U17" i="1" l="1"/>
  <c r="T22" i="1" s="1"/>
  <c r="AH11" i="1"/>
  <c r="S29" i="1" s="1"/>
  <c r="Y29" i="1" s="1"/>
  <c r="AH15" i="1"/>
  <c r="S33" i="1" s="1"/>
  <c r="Y33" i="1" s="1"/>
  <c r="AH14" i="1"/>
  <c r="S32" i="1" s="1"/>
  <c r="Y32" i="1" s="1"/>
  <c r="AH13" i="1"/>
  <c r="S31" i="1" s="1"/>
  <c r="Y31" i="1" s="1"/>
  <c r="AH12" i="1"/>
  <c r="S30" i="1" s="1"/>
  <c r="Y30" i="1" s="1"/>
  <c r="AH10" i="1"/>
  <c r="S28" i="1" s="1"/>
  <c r="Y28" i="1" s="1"/>
  <c r="AH9" i="1"/>
  <c r="S27" i="1" s="1"/>
  <c r="Y27" i="1" s="1"/>
  <c r="AH6" i="1"/>
  <c r="S24" i="1" s="1"/>
  <c r="AH8" i="1"/>
  <c r="S26" i="1" s="1"/>
  <c r="Y26" i="1" s="1"/>
  <c r="AH5" i="1"/>
  <c r="S23" i="1" s="1"/>
  <c r="Y23" i="1" s="1"/>
  <c r="AH7" i="1"/>
  <c r="S25" i="1" s="1"/>
  <c r="Y25" i="1" s="1"/>
  <c r="T17" i="1"/>
  <c r="T21" i="1" s="1"/>
  <c r="AF17" i="1"/>
  <c r="T33" i="1" s="1"/>
  <c r="AD17" i="1"/>
  <c r="T31" i="1" s="1"/>
  <c r="AC17" i="1"/>
  <c r="T30" i="1" s="1"/>
  <c r="Z17" i="1"/>
  <c r="T27" i="1" s="1"/>
  <c r="X17" i="1"/>
  <c r="T25" i="1" s="1"/>
  <c r="W17" i="1"/>
  <c r="T24" i="1" s="1"/>
  <c r="AA17" i="1"/>
  <c r="T28" i="1" s="1"/>
  <c r="Y17" i="1"/>
  <c r="T26" i="1" s="1"/>
  <c r="AE17" i="1"/>
  <c r="T32" i="1" s="1"/>
  <c r="AB17" i="1"/>
  <c r="T29" i="1" s="1"/>
  <c r="V17" i="1"/>
  <c r="T23" i="1" s="1"/>
  <c r="S17" i="1"/>
  <c r="T20" i="1" s="1"/>
  <c r="AH4" i="1"/>
  <c r="S22" i="1" s="1"/>
  <c r="Y22" i="1" s="1"/>
  <c r="AH3" i="1"/>
  <c r="S21" i="1" s="1"/>
  <c r="Y21" i="1" s="1"/>
  <c r="AH2" i="1"/>
  <c r="U25" i="1" l="1"/>
  <c r="Z25" i="1" s="1"/>
  <c r="AA25" i="1" s="1"/>
  <c r="U31" i="1"/>
  <c r="Z31" i="1" s="1"/>
  <c r="AA31" i="1" s="1"/>
  <c r="U30" i="1"/>
  <c r="Z30" i="1" s="1"/>
  <c r="AA30" i="1" s="1"/>
  <c r="U28" i="1"/>
  <c r="Z28" i="1" s="1"/>
  <c r="AA28" i="1" s="1"/>
  <c r="U27" i="1"/>
  <c r="Z27" i="1" s="1"/>
  <c r="AA27" i="1" s="1"/>
  <c r="U29" i="1"/>
  <c r="Z29" i="1" s="1"/>
  <c r="AA29" i="1" s="1"/>
  <c r="U22" i="1"/>
  <c r="Z22" i="1" s="1"/>
  <c r="AA22" i="1" s="1"/>
  <c r="U24" i="1"/>
  <c r="Z24" i="1" s="1"/>
  <c r="AA24" i="1" s="1"/>
  <c r="U23" i="1"/>
  <c r="U26" i="1"/>
  <c r="Z26" i="1" s="1"/>
  <c r="AA26" i="1" s="1"/>
  <c r="U32" i="1"/>
  <c r="Z32" i="1" s="1"/>
  <c r="AA32" i="1" s="1"/>
  <c r="U33" i="1"/>
  <c r="U21" i="1"/>
  <c r="Z21" i="1" s="1"/>
  <c r="AA21" i="1" s="1"/>
  <c r="S20" i="1"/>
  <c r="AH17" i="1"/>
  <c r="Z33" i="1" l="1"/>
  <c r="AA33" i="1" s="1"/>
  <c r="U20" i="1"/>
  <c r="Z20" i="1" s="1"/>
  <c r="Y20" i="1"/>
  <c r="AA20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<sst xmlns="http://schemas.openxmlformats.org/spreadsheetml/2006/main" count="697" uniqueCount="99">
  <si>
    <t>Inferno</t>
  </si>
  <si>
    <t>Aqua</t>
  </si>
  <si>
    <t>Flora</t>
  </si>
  <si>
    <t>Terra</t>
  </si>
  <si>
    <t>Wind</t>
  </si>
  <si>
    <t>Lightning</t>
  </si>
  <si>
    <t>Frost</t>
  </si>
  <si>
    <t>Mind</t>
  </si>
  <si>
    <t>Spirit</t>
  </si>
  <si>
    <t>Cursed</t>
  </si>
  <si>
    <t>Bless</t>
  </si>
  <si>
    <t>Mythos</t>
  </si>
  <si>
    <t>Cyber</t>
  </si>
  <si>
    <t>Cosmic</t>
  </si>
  <si>
    <t>Neutral</t>
  </si>
  <si>
    <t>Things Outside of Type Match Up that Gives Advantages</t>
  </si>
  <si>
    <t>Type distribution in available pool of playable champions</t>
  </si>
  <si>
    <t>Move pool depth and quality (strength, secondary affects)</t>
  </si>
  <si>
    <t>Average stat distribution by essence</t>
  </si>
  <si>
    <t>Essence specific perks</t>
  </si>
  <si>
    <t xml:space="preserve">Immunities --&gt; Potentially 3x beneficial than neutral </t>
  </si>
  <si>
    <t>Flexibility in dual typing</t>
  </si>
  <si>
    <t>Typing and role alignment</t>
  </si>
  <si>
    <t>Mythos &amp; Cosmic = Higher Base Stats, worse matchups</t>
  </si>
  <si>
    <t>Cyber = Better matchups, Lower base stats</t>
  </si>
  <si>
    <t>Wind = Less resistances, offset with evasion</t>
  </si>
  <si>
    <t>Ground = More resistances, offset with devasion</t>
  </si>
  <si>
    <t>Triangles / Dualities</t>
  </si>
  <si>
    <t>Fire-Water-Grass</t>
  </si>
  <si>
    <t>Fly-Ground</t>
  </si>
  <si>
    <t>Ice-Lighting</t>
  </si>
  <si>
    <t>Mind-Spirit-Cursed-Bless</t>
  </si>
  <si>
    <t>Mthos-Cyber-Cosmic</t>
  </si>
  <si>
    <t>Attack</t>
  </si>
  <si>
    <t>Defense</t>
  </si>
  <si>
    <t>Diff</t>
  </si>
  <si>
    <t>Type Matchups Chart (Row = Attacking; Column = Defending)</t>
  </si>
  <si>
    <t>Essence</t>
  </si>
  <si>
    <t>Vibe</t>
  </si>
  <si>
    <t>Role</t>
  </si>
  <si>
    <t>Target Offense Score</t>
  </si>
  <si>
    <t>Target Defense Score</t>
  </si>
  <si>
    <t>Why</t>
  </si>
  <si>
    <t>Offensive</t>
  </si>
  <si>
    <t>Burst DPS</t>
  </si>
  <si>
    <t>High (4–5 2×s)</t>
  </si>
  <si>
    <t>Low (few resists)</t>
  </si>
  <si>
    <t>Fire is volatile — should dominate some types, lose to others</t>
  </si>
  <si>
    <t>Balanced</t>
  </si>
  <si>
    <t>Utility</t>
  </si>
  <si>
    <t>Medium</t>
  </si>
  <si>
    <t>Water is adaptable, good vs Fire but weak to Grass/Electric</t>
  </si>
  <si>
    <t>Defensive</t>
  </si>
  <si>
    <t>Control</t>
  </si>
  <si>
    <t>Low</t>
  </si>
  <si>
    <t>High (3–4 resists)</t>
  </si>
  <si>
    <t>Ice is slow, stall-y, should have bulk but few KOs</t>
  </si>
  <si>
    <t>Speed DPS</t>
  </si>
  <si>
    <t>Low (exploitable)</t>
  </si>
  <si>
    <t>Strikes fast, dies fast</t>
  </si>
  <si>
    <t>Support</t>
  </si>
  <si>
    <t>Status</t>
  </si>
  <si>
    <t>Medium (3 2×s)</t>
  </si>
  <si>
    <t>Medium-High</t>
  </si>
  <si>
    <t>Heals, poisons, slows; not pure damage</t>
  </si>
  <si>
    <t>Tank</t>
  </si>
  <si>
    <t>High</t>
  </si>
  <si>
    <t>Ground is the wall — should null, resist, rarely strike hard</t>
  </si>
  <si>
    <t>Evasive</t>
  </si>
  <si>
    <t>Hit-and-run</t>
  </si>
  <si>
    <t>Medium (Nulls OK)</t>
  </si>
  <si>
    <t>Weak to direct hits but dodges or nullifies</t>
  </si>
  <si>
    <t>Strategic</t>
  </si>
  <si>
    <t>Setup</t>
  </si>
  <si>
    <t>More about position, predictions</t>
  </si>
  <si>
    <t>Debuffer</t>
  </si>
  <si>
    <t>High (few weaknesses)</t>
  </si>
  <si>
    <t>Can't be hit by certain things, inflicts status</t>
  </si>
  <si>
    <t>DoT / Attrition</t>
  </si>
  <si>
    <t>Applies poison-type damage, but can't hard carry</t>
  </si>
  <si>
    <t>Cleric</t>
  </si>
  <si>
    <t>Defensive anchor; resists evil</t>
  </si>
  <si>
    <t>Wildcard</t>
  </si>
  <si>
    <t>Ultimate Threat</t>
  </si>
  <si>
    <t>High synergy, niche immunities</t>
  </si>
  <si>
    <t>Meta-breaker</t>
  </si>
  <si>
    <t>Low-Med</t>
  </si>
  <si>
    <t>Anti-meta but vulnerable</t>
  </si>
  <si>
    <t>AoE / Space Mage</t>
  </si>
  <si>
    <t>Gravity-based utility, unpredictable</t>
  </si>
  <si>
    <t>Consistent</t>
  </si>
  <si>
    <t>Always 1× — pure balance</t>
  </si>
  <si>
    <t>&lt;&lt;- devasion</t>
  </si>
  <si>
    <t>&lt;&lt;- evasion</t>
  </si>
  <si>
    <t>&lt;&lt; better base stats</t>
  </si>
  <si>
    <t>&lt;&lt; worse base stats</t>
  </si>
  <si>
    <t>Electric</t>
  </si>
  <si>
    <t>Type 1</t>
  </si>
  <si>
    <t>Type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</si>
</sst>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x"/>
    <numFmt numFmtId="165" formatCode="0.00\x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64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64" fontId="0" fillId="3" borderId="0" xfId="0" applyNumberFormat="1" applyFill="1"/>
    <xf numFmtId="164" fontId="0" fillId="4" borderId="0" xfId="0" applyNumberFormat="1" applyFill="1"/>
    <xf numFmtId="164" fontId="0" fillId="2" borderId="0" xfId="0" applyNumberFormat="1" applyFill="1"/>
    <xf numFmtId="0" fontId="2" fillId="0" borderId="0" xfId="0" applyFont="1"/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Continuous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165" fontId="2" fillId="0" borderId="0" xfId="0" applyNumberFormat="1" applyFont="1"/>
    <xf numFmtId="165" fontId="2" fillId="0" borderId="0" xfId="0" applyNumberFormat="1" applyFont="1" applyAlignment="1">
      <alignment horizontal="left"/>
    </xf>
  </cellXfs>
  <cellStyles count="1">
    <cellStyle name="Normal" xfId="0" builtinId="0"/>
  </cellStyles>
  <dxfs count="4"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3F6D9-4BEC-4B70-BF32-E0ADE36618B0}">
  <dimension ref="A1:AH62"/>
  <sheetViews>
    <sheetView workbookViewId="0">
      <selection activeCell="D8" sqref="D8"/>
    </sheetView>
  </sheetViews>
  <sheetFormatPr defaultRowHeight="12.75" x14ac:dyDescent="0.2"/>
  <sheetData>
    <row r="1" spans="1:3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S1" t="s">
        <v>0</v>
      </c>
      <c r="T1" t="s">
        <v>1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Z1" t="s">
        <v>7</v>
      </c>
      <c r="AA1" t="s">
        <v>8</v>
      </c>
      <c r="AB1" t="s">
        <v>9</v>
      </c>
      <c r="AC1" t="s">
        <v>10</v>
      </c>
      <c r="AD1" t="s">
        <v>11</v>
      </c>
      <c r="AE1" t="s">
        <v>12</v>
      </c>
      <c r="AF1" t="s">
        <v>13</v>
      </c>
      <c r="AG1" t="s">
        <v>14</v>
      </c>
    </row>
    <row r="2" spans="1:34" x14ac:dyDescent="0.2">
      <c r="A2" t="s">
        <v>0</v>
      </c>
      <c r="B2" s="13">
        <v>0.5</v>
      </c>
      <c r="C2" s="13">
        <v>0.5</v>
      </c>
      <c r="D2" s="13">
        <v>2</v>
      </c>
      <c r="E2" s="15">
        <v>2</v>
      </c>
      <c r="F2" s="1">
        <v>0.5</v>
      </c>
      <c r="G2" s="1">
        <v>1</v>
      </c>
      <c r="H2" s="15">
        <v>2</v>
      </c>
      <c r="I2" s="1">
        <v>1</v>
      </c>
      <c r="J2" s="1">
        <v>0.5</v>
      </c>
      <c r="K2" s="1">
        <v>1</v>
      </c>
      <c r="L2" s="1">
        <v>2</v>
      </c>
      <c r="M2" s="1">
        <v>1</v>
      </c>
      <c r="N2" s="15">
        <v>2</v>
      </c>
      <c r="O2" s="1">
        <v>1</v>
      </c>
      <c r="P2" s="13">
        <v>1</v>
      </c>
      <c r="R2" t="s">
        <v>0</v>
      </c>
      <c r="S2" s="2" cm="1">
        <f t="array" ref="S2">_xlfn.IFS(B2=1,1,B2=2,2,B2=0.5,0,B2=0,-1)</f>
        <v>0</v>
      </c>
      <c r="T2" s="3" cm="1">
        <f t="array" ref="T2">_xlfn.IFS(C2=1,1,C2=2,2,C2=0.5,0,C2=0,-1)</f>
        <v>0</v>
      </c>
      <c r="U2" s="3" cm="1">
        <f t="array" ref="U2">_xlfn.IFS(D2=1,1,D2=2,2,D2=0.5,0,D2=0,-1)</f>
        <v>2</v>
      </c>
      <c r="V2" s="3" cm="1">
        <f t="array" ref="V2">_xlfn.IFS(E2=1,1,E2=2,2,E2=0.5,0,E2=0,-1)</f>
        <v>2</v>
      </c>
      <c r="W2" s="3" cm="1">
        <f t="array" ref="W2">_xlfn.IFS(F2=1,1,F2=2,2,F2=0.5,0,F2=0,-1)</f>
        <v>0</v>
      </c>
      <c r="X2" s="3" cm="1">
        <f t="array" ref="X2">_xlfn.IFS(G2=1,1,G2=2,2,G2=0.5,0,G2=0,-1)</f>
        <v>1</v>
      </c>
      <c r="Y2" s="3" cm="1">
        <f t="array" ref="Y2">_xlfn.IFS(H2=1,1,H2=2,2,H2=0.5,0,H2=0,-1)</f>
        <v>2</v>
      </c>
      <c r="Z2" s="3" cm="1">
        <f t="array" ref="Z2">_xlfn.IFS(I2=1,1,I2=2,2,I2=0.5,0,I2=0,-1)</f>
        <v>1</v>
      </c>
      <c r="AA2" s="3" cm="1">
        <f t="array" ref="AA2">_xlfn.IFS(J2=1,1,J2=2,2,J2=0.5,0,J2=0,-1)</f>
        <v>0</v>
      </c>
      <c r="AB2" s="3" cm="1">
        <f t="array" ref="AB2">_xlfn.IFS(K2=1,1,K2=2,2,K2=0.5,0,K2=0,-1)</f>
        <v>1</v>
      </c>
      <c r="AC2" s="3" cm="1">
        <f t="array" ref="AC2">_xlfn.IFS(L2=1,1,L2=2,2,L2=0.5,0,L2=0,-1)</f>
        <v>2</v>
      </c>
      <c r="AD2" s="3" cm="1">
        <f t="array" ref="AD2">_xlfn.IFS(M2=1,1,M2=2,2,M2=0.5,0,M2=0,-1)</f>
        <v>1</v>
      </c>
      <c r="AE2" s="3" cm="1">
        <f t="array" ref="AE2">_xlfn.IFS(N2=1,1,N2=2,2,N2=0.5,0,N2=0,-1)</f>
        <v>2</v>
      </c>
      <c r="AF2" s="3" cm="1">
        <f t="array" ref="AF2">_xlfn.IFS(O2=1,1,O2=2,2,O2=0.5,0,O2=0,-1)</f>
        <v>1</v>
      </c>
      <c r="AG2" s="4" cm="1">
        <f t="array" ref="AG2">_xlfn.IFS(P2=1,1,P2=2,2,P2=0.5,0,P2=0,-1)</f>
        <v>1</v>
      </c>
      <c r="AH2">
        <f>SUM(S2:AG2)</f>
        <v>16</v>
      </c>
    </row>
    <row r="3" spans="1:34" x14ac:dyDescent="0.2">
      <c r="A3" t="s">
        <v>1</v>
      </c>
      <c r="B3" s="13">
        <v>2</v>
      </c>
      <c r="C3" s="13">
        <v>0.5</v>
      </c>
      <c r="D3" s="13">
        <v>0.5</v>
      </c>
      <c r="E3" s="15">
        <v>2</v>
      </c>
      <c r="F3" s="1">
        <v>1</v>
      </c>
      <c r="G3" s="1">
        <v>1</v>
      </c>
      <c r="H3" s="1">
        <v>0.5</v>
      </c>
      <c r="I3" s="1">
        <v>1</v>
      </c>
      <c r="J3" s="1">
        <v>0.5</v>
      </c>
      <c r="K3" s="1">
        <v>1</v>
      </c>
      <c r="L3" s="1">
        <v>1</v>
      </c>
      <c r="M3" s="1">
        <v>1</v>
      </c>
      <c r="N3" s="15">
        <v>2</v>
      </c>
      <c r="O3" s="1">
        <v>0.5</v>
      </c>
      <c r="P3" s="13">
        <v>1</v>
      </c>
      <c r="R3" t="s">
        <v>1</v>
      </c>
      <c r="S3" s="5" cm="1">
        <f t="array" ref="S3">_xlfn.IFS(B3=1,1,B3=2,2,B3=0.5,0,B3=0,-1)</f>
        <v>2</v>
      </c>
      <c r="T3" cm="1">
        <f t="array" ref="T3">_xlfn.IFS(C3=1,1,C3=2,2,C3=0.5,0,C3=0,-1)</f>
        <v>0</v>
      </c>
      <c r="U3" cm="1">
        <f t="array" ref="U3">_xlfn.IFS(D3=1,1,D3=2,2,D3=0.5,0,D3=0,-1)</f>
        <v>0</v>
      </c>
      <c r="V3" cm="1">
        <f t="array" ref="V3">_xlfn.IFS(E3=1,1,E3=2,2,E3=0.5,0,E3=0,-1)</f>
        <v>2</v>
      </c>
      <c r="W3" cm="1">
        <f t="array" ref="W3">_xlfn.IFS(F3=1,1,F3=2,2,F3=0.5,0,F3=0,-1)</f>
        <v>1</v>
      </c>
      <c r="X3" cm="1">
        <f t="array" ref="X3">_xlfn.IFS(G3=1,1,G3=2,2,G3=0.5,0,G3=0,-1)</f>
        <v>1</v>
      </c>
      <c r="Y3" cm="1">
        <f t="array" ref="Y3">_xlfn.IFS(H3=1,1,H3=2,2,H3=0.5,0,H3=0,-1)</f>
        <v>0</v>
      </c>
      <c r="Z3" cm="1">
        <f t="array" ref="Z3">_xlfn.IFS(I3=1,1,I3=2,2,I3=0.5,0,I3=0,-1)</f>
        <v>1</v>
      </c>
      <c r="AA3" cm="1">
        <f t="array" ref="AA3">_xlfn.IFS(J3=1,1,J3=2,2,J3=0.5,0,J3=0,-1)</f>
        <v>0</v>
      </c>
      <c r="AB3" cm="1">
        <f t="array" ref="AB3">_xlfn.IFS(K3=1,1,K3=2,2,K3=0.5,0,K3=0,-1)</f>
        <v>1</v>
      </c>
      <c r="AC3" cm="1">
        <f t="array" ref="AC3">_xlfn.IFS(L3=1,1,L3=2,2,L3=0.5,0,L3=0,-1)</f>
        <v>1</v>
      </c>
      <c r="AD3" cm="1">
        <f t="array" ref="AD3">_xlfn.IFS(M3=1,1,M3=2,2,M3=0.5,0,M3=0,-1)</f>
        <v>1</v>
      </c>
      <c r="AE3" cm="1">
        <f t="array" ref="AE3">_xlfn.IFS(N3=1,1,N3=2,2,N3=0.5,0,N3=0,-1)</f>
        <v>2</v>
      </c>
      <c r="AF3" cm="1">
        <f t="array" ref="AF3">_xlfn.IFS(O3=1,1,O3=2,2,O3=0.5,0,O3=0,-1)</f>
        <v>0</v>
      </c>
      <c r="AG3" s="6" cm="1">
        <f t="array" ref="AG3">_xlfn.IFS(P3=1,1,P3=2,2,P3=0.5,0,P3=0,-1)</f>
        <v>1</v>
      </c>
      <c r="AH3">
        <f t="shared" ref="AH3:AH16" si="0">SUM(S3:AG3)</f>
        <v>13</v>
      </c>
    </row>
    <row r="4" spans="1:34" x14ac:dyDescent="0.2">
      <c r="A4" t="s">
        <v>2</v>
      </c>
      <c r="B4" s="13">
        <v>0.5</v>
      </c>
      <c r="C4" s="13">
        <v>2</v>
      </c>
      <c r="D4" s="13">
        <v>0.5</v>
      </c>
      <c r="E4" s="15">
        <v>2</v>
      </c>
      <c r="F4" s="1">
        <v>0.5</v>
      </c>
      <c r="G4" s="1">
        <v>1</v>
      </c>
      <c r="H4" s="1">
        <v>0.5</v>
      </c>
      <c r="I4" s="1">
        <v>1</v>
      </c>
      <c r="J4" s="1">
        <v>1</v>
      </c>
      <c r="K4" s="1">
        <v>1</v>
      </c>
      <c r="L4" s="1">
        <v>0.5</v>
      </c>
      <c r="M4" s="1">
        <v>1</v>
      </c>
      <c r="N4" s="1">
        <v>2</v>
      </c>
      <c r="O4" s="1">
        <v>1</v>
      </c>
      <c r="P4" s="13">
        <v>1</v>
      </c>
      <c r="R4" t="s">
        <v>2</v>
      </c>
      <c r="S4" s="5" cm="1">
        <f t="array" ref="S4">_xlfn.IFS(B4=1,1,B4=2,2,B4=0.5,0,B4=0,-1)</f>
        <v>0</v>
      </c>
      <c r="T4" cm="1">
        <f t="array" ref="T4">_xlfn.IFS(C4=1,1,C4=2,2,C4=0.5,0,C4=0,-1)</f>
        <v>2</v>
      </c>
      <c r="U4" cm="1">
        <f t="array" ref="U4">_xlfn.IFS(D4=1,1,D4=2,2,D4=0.5,0,D4=0,-1)</f>
        <v>0</v>
      </c>
      <c r="V4" cm="1">
        <f t="array" ref="V4">_xlfn.IFS(E4=1,1,E4=2,2,E4=0.5,0,E4=0,-1)</f>
        <v>2</v>
      </c>
      <c r="W4" cm="1">
        <f t="array" ref="W4">_xlfn.IFS(F4=1,1,F4=2,2,F4=0.5,0,F4=0,-1)</f>
        <v>0</v>
      </c>
      <c r="X4" cm="1">
        <f t="array" ref="X4">_xlfn.IFS(G4=1,1,G4=2,2,G4=0.5,0,G4=0,-1)</f>
        <v>1</v>
      </c>
      <c r="Y4" cm="1">
        <f t="array" ref="Y4">_xlfn.IFS(H4=1,1,H4=2,2,H4=0.5,0,H4=0,-1)</f>
        <v>0</v>
      </c>
      <c r="Z4" cm="1">
        <f t="array" ref="Z4">_xlfn.IFS(I4=1,1,I4=2,2,I4=0.5,0,I4=0,-1)</f>
        <v>1</v>
      </c>
      <c r="AA4" cm="1">
        <f t="array" ref="AA4">_xlfn.IFS(J4=1,1,J4=2,2,J4=0.5,0,J4=0,-1)</f>
        <v>1</v>
      </c>
      <c r="AB4" cm="1">
        <f t="array" ref="AB4">_xlfn.IFS(K4=1,1,K4=2,2,K4=0.5,0,K4=0,-1)</f>
        <v>1</v>
      </c>
      <c r="AC4" cm="1">
        <f t="array" ref="AC4">_xlfn.IFS(L4=1,1,L4=2,2,L4=0.5,0,L4=0,-1)</f>
        <v>0</v>
      </c>
      <c r="AD4" cm="1">
        <f t="array" ref="AD4">_xlfn.IFS(M4=1,1,M4=2,2,M4=0.5,0,M4=0,-1)</f>
        <v>1</v>
      </c>
      <c r="AE4" cm="1">
        <f t="array" ref="AE4">_xlfn.IFS(N4=1,1,N4=2,2,N4=0.5,0,N4=0,-1)</f>
        <v>2</v>
      </c>
      <c r="AF4" cm="1">
        <f t="array" ref="AF4">_xlfn.IFS(O4=1,1,O4=2,2,O4=0.5,0,O4=0,-1)</f>
        <v>1</v>
      </c>
      <c r="AG4" s="6" cm="1">
        <f t="array" ref="AG4">_xlfn.IFS(P4=1,1,P4=2,2,P4=0.5,0,P4=0,-1)</f>
        <v>1</v>
      </c>
      <c r="AH4">
        <f t="shared" si="0"/>
        <v>13</v>
      </c>
    </row>
    <row r="5" spans="1:34" x14ac:dyDescent="0.2">
      <c r="A5" t="s">
        <v>3</v>
      </c>
      <c r="B5" s="1">
        <v>2</v>
      </c>
      <c r="C5" s="1">
        <v>1</v>
      </c>
      <c r="D5" s="1">
        <v>0.5</v>
      </c>
      <c r="E5" s="13">
        <v>0.5</v>
      </c>
      <c r="F5" s="13">
        <v>0</v>
      </c>
      <c r="G5" s="15">
        <v>2</v>
      </c>
      <c r="H5" s="1">
        <v>0.5</v>
      </c>
      <c r="I5" s="1">
        <v>0.5</v>
      </c>
      <c r="J5" s="1">
        <v>0.5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3">
        <v>1</v>
      </c>
      <c r="R5" t="s">
        <v>3</v>
      </c>
      <c r="S5" s="5" cm="1">
        <f t="array" ref="S5">_xlfn.IFS(B5=1,1,B5=2,2,B5=0.5,0,B5=0,-1)</f>
        <v>2</v>
      </c>
      <c r="T5" cm="1">
        <f t="array" ref="T5">_xlfn.IFS(C5=1,1,C5=2,2,C5=0.5,0,C5=0,-1)</f>
        <v>1</v>
      </c>
      <c r="U5" cm="1">
        <f t="array" ref="U5">_xlfn.IFS(D5=1,1,D5=2,2,D5=0.5,0,D5=0,-1)</f>
        <v>0</v>
      </c>
      <c r="V5" cm="1">
        <f t="array" ref="V5">_xlfn.IFS(E5=1,1,E5=2,2,E5=0.5,0,E5=0,-1)</f>
        <v>0</v>
      </c>
      <c r="W5" cm="1">
        <f t="array" ref="W5">_xlfn.IFS(F5=1,1,F5=2,2,F5=0.5,0,F5=0,-1)</f>
        <v>-1</v>
      </c>
      <c r="X5" cm="1">
        <f t="array" ref="X5">_xlfn.IFS(G5=1,1,G5=2,2,G5=0.5,0,G5=0,-1)</f>
        <v>2</v>
      </c>
      <c r="Y5" cm="1">
        <f t="array" ref="Y5">_xlfn.IFS(H5=1,1,H5=2,2,H5=0.5,0,H5=0,-1)</f>
        <v>0</v>
      </c>
      <c r="Z5" cm="1">
        <f t="array" ref="Z5">_xlfn.IFS(I5=1,1,I5=2,2,I5=0.5,0,I5=0,-1)</f>
        <v>0</v>
      </c>
      <c r="AA5" cm="1">
        <f t="array" ref="AA5">_xlfn.IFS(J5=1,1,J5=2,2,J5=0.5,0,J5=0,-1)</f>
        <v>0</v>
      </c>
      <c r="AB5" cm="1">
        <f t="array" ref="AB5">_xlfn.IFS(K5=1,1,K5=2,2,K5=0.5,0,K5=0,-1)</f>
        <v>1</v>
      </c>
      <c r="AC5" cm="1">
        <f t="array" ref="AC5">_xlfn.IFS(L5=1,1,L5=2,2,L5=0.5,0,L5=0,-1)</f>
        <v>1</v>
      </c>
      <c r="AD5" cm="1">
        <f t="array" ref="AD5">_xlfn.IFS(M5=1,1,M5=2,2,M5=0.5,0,M5=0,-1)</f>
        <v>1</v>
      </c>
      <c r="AE5" cm="1">
        <f t="array" ref="AE5">_xlfn.IFS(N5=1,1,N5=2,2,N5=0.5,0,N5=0,-1)</f>
        <v>1</v>
      </c>
      <c r="AF5" cm="1">
        <f t="array" ref="AF5">_xlfn.IFS(O5=1,1,O5=2,2,O5=0.5,0,O5=0,-1)</f>
        <v>1</v>
      </c>
      <c r="AG5" s="6" cm="1">
        <f t="array" ref="AG5">_xlfn.IFS(P5=1,1,P5=2,2,P5=0.5,0,P5=0,-1)</f>
        <v>1</v>
      </c>
      <c r="AH5">
        <f t="shared" si="0"/>
        <v>10</v>
      </c>
    </row>
    <row r="6" spans="1:34" x14ac:dyDescent="0.2">
      <c r="A6" t="s">
        <v>4</v>
      </c>
      <c r="B6" s="1">
        <v>2</v>
      </c>
      <c r="C6" s="1">
        <v>1</v>
      </c>
      <c r="D6" s="1">
        <v>1</v>
      </c>
      <c r="E6" s="13">
        <v>0</v>
      </c>
      <c r="F6" s="13">
        <v>0.5</v>
      </c>
      <c r="G6" s="1">
        <v>1</v>
      </c>
      <c r="H6" s="1">
        <v>2</v>
      </c>
      <c r="I6" s="1">
        <v>1</v>
      </c>
      <c r="J6" s="1">
        <v>2</v>
      </c>
      <c r="K6" s="1">
        <v>1</v>
      </c>
      <c r="L6" s="1">
        <v>2</v>
      </c>
      <c r="M6" s="1">
        <v>1</v>
      </c>
      <c r="N6" s="1">
        <v>0.5</v>
      </c>
      <c r="O6" s="1">
        <v>1</v>
      </c>
      <c r="P6" s="13">
        <v>1</v>
      </c>
      <c r="R6" t="s">
        <v>4</v>
      </c>
      <c r="S6" s="5" cm="1">
        <f t="array" ref="S6">_xlfn.IFS(B6=1,1,B6=2,2,B6=0.5,0,B6=0,-1)</f>
        <v>2</v>
      </c>
      <c r="T6" cm="1">
        <f t="array" ref="T6">_xlfn.IFS(C6=1,1,C6=2,2,C6=0.5,0,C6=0,-1)</f>
        <v>1</v>
      </c>
      <c r="U6" cm="1">
        <f t="array" ref="U6">_xlfn.IFS(D6=1,1,D6=2,2,D6=0.5,0,D6=0,-1)</f>
        <v>1</v>
      </c>
      <c r="V6" cm="1">
        <f t="array" ref="V6">_xlfn.IFS(E6=1,1,E6=2,2,E6=0.5,0,E6=0,-1)</f>
        <v>-1</v>
      </c>
      <c r="W6" cm="1">
        <f t="array" ref="W6">_xlfn.IFS(F6=1,1,F6=2,2,F6=0.5,0,F6=0,-1)</f>
        <v>0</v>
      </c>
      <c r="X6" cm="1">
        <f t="array" ref="X6">_xlfn.IFS(G6=1,1,G6=2,2,G6=0.5,0,G6=0,-1)</f>
        <v>1</v>
      </c>
      <c r="Y6" cm="1">
        <f t="array" ref="Y6">_xlfn.IFS(H6=1,1,H6=2,2,H6=0.5,0,H6=0,-1)</f>
        <v>2</v>
      </c>
      <c r="Z6" cm="1">
        <f t="array" ref="Z6">_xlfn.IFS(I6=1,1,I6=2,2,I6=0.5,0,I6=0,-1)</f>
        <v>1</v>
      </c>
      <c r="AA6" cm="1">
        <f t="array" ref="AA6">_xlfn.IFS(J6=1,1,J6=2,2,J6=0.5,0,J6=0,-1)</f>
        <v>2</v>
      </c>
      <c r="AB6" cm="1">
        <f t="array" ref="AB6">_xlfn.IFS(K6=1,1,K6=2,2,K6=0.5,0,K6=0,-1)</f>
        <v>1</v>
      </c>
      <c r="AC6" cm="1">
        <f t="array" ref="AC6">_xlfn.IFS(L6=1,1,L6=2,2,L6=0.5,0,L6=0,-1)</f>
        <v>2</v>
      </c>
      <c r="AD6" cm="1">
        <f t="array" ref="AD6">_xlfn.IFS(M6=1,1,M6=2,2,M6=0.5,0,M6=0,-1)</f>
        <v>1</v>
      </c>
      <c r="AE6" cm="1">
        <f t="array" ref="AE6">_xlfn.IFS(N6=1,1,N6=2,2,N6=0.5,0,N6=0,-1)</f>
        <v>0</v>
      </c>
      <c r="AF6" cm="1">
        <f t="array" ref="AF6">_xlfn.IFS(O6=1,1,O6=2,2,O6=0.5,0,O6=0,-1)</f>
        <v>1</v>
      </c>
      <c r="AG6" s="6" cm="1">
        <f t="array" ref="AG6">_xlfn.IFS(P6=1,1,P6=2,2,P6=0.5,0,P6=0,-1)</f>
        <v>1</v>
      </c>
      <c r="AH6">
        <f t="shared" si="0"/>
        <v>15</v>
      </c>
    </row>
    <row r="7" spans="1:34" x14ac:dyDescent="0.2">
      <c r="A7" t="s">
        <v>5</v>
      </c>
      <c r="B7" s="1">
        <v>1</v>
      </c>
      <c r="C7" s="1">
        <v>2</v>
      </c>
      <c r="D7" s="1">
        <v>1</v>
      </c>
      <c r="E7" s="15">
        <v>0</v>
      </c>
      <c r="F7" s="15">
        <v>2</v>
      </c>
      <c r="G7" s="1">
        <v>0.5</v>
      </c>
      <c r="H7" s="1">
        <v>0.5</v>
      </c>
      <c r="I7" s="1">
        <v>0.5</v>
      </c>
      <c r="J7" s="1">
        <v>2</v>
      </c>
      <c r="K7" s="1">
        <v>1</v>
      </c>
      <c r="L7" s="1">
        <v>2</v>
      </c>
      <c r="M7" s="1">
        <v>1</v>
      </c>
      <c r="N7" s="15">
        <v>2</v>
      </c>
      <c r="O7" s="1">
        <v>0.5</v>
      </c>
      <c r="P7" s="13">
        <v>1</v>
      </c>
      <c r="R7" t="s">
        <v>5</v>
      </c>
      <c r="S7" s="5" cm="1">
        <f t="array" ref="S7">_xlfn.IFS(B7=1,1,B7=2,2,B7=0.5,0,B7=0,-1)</f>
        <v>1</v>
      </c>
      <c r="T7" cm="1">
        <f t="array" ref="T7">_xlfn.IFS(C7=1,1,C7=2,2,C7=0.5,0,C7=0,-1)</f>
        <v>2</v>
      </c>
      <c r="U7" cm="1">
        <f t="array" ref="U7">_xlfn.IFS(D7=1,1,D7=2,2,D7=0.5,0,D7=0,-1)</f>
        <v>1</v>
      </c>
      <c r="V7" cm="1">
        <f t="array" ref="V7">_xlfn.IFS(E7=1,1,E7=2,2,E7=0.5,0,E7=0,-1)</f>
        <v>-1</v>
      </c>
      <c r="W7" cm="1">
        <f t="array" ref="W7">_xlfn.IFS(F7=1,1,F7=2,2,F7=0.5,0,F7=0,-1)</f>
        <v>2</v>
      </c>
      <c r="X7" cm="1">
        <f t="array" ref="X7">_xlfn.IFS(G7=1,1,G7=2,2,G7=0.5,0,G7=0,-1)</f>
        <v>0</v>
      </c>
      <c r="Y7" cm="1">
        <f t="array" ref="Y7">_xlfn.IFS(H7=1,1,H7=2,2,H7=0.5,0,H7=0,-1)</f>
        <v>0</v>
      </c>
      <c r="Z7" cm="1">
        <f t="array" ref="Z7">_xlfn.IFS(I7=1,1,I7=2,2,I7=0.5,0,I7=0,-1)</f>
        <v>0</v>
      </c>
      <c r="AA7" cm="1">
        <f t="array" ref="AA7">_xlfn.IFS(J7=1,1,J7=2,2,J7=0.5,0,J7=0,-1)</f>
        <v>2</v>
      </c>
      <c r="AB7" cm="1">
        <f t="array" ref="AB7">_xlfn.IFS(K7=1,1,K7=2,2,K7=0.5,0,K7=0,-1)</f>
        <v>1</v>
      </c>
      <c r="AC7" cm="1">
        <f t="array" ref="AC7">_xlfn.IFS(L7=1,1,L7=2,2,L7=0.5,0,L7=0,-1)</f>
        <v>2</v>
      </c>
      <c r="AD7" cm="1">
        <f t="array" ref="AD7">_xlfn.IFS(M7=1,1,M7=2,2,M7=0.5,0,M7=0,-1)</f>
        <v>1</v>
      </c>
      <c r="AE7" cm="1">
        <f t="array" ref="AE7">_xlfn.IFS(N7=1,1,N7=2,2,N7=0.5,0,N7=0,-1)</f>
        <v>2</v>
      </c>
      <c r="AF7" cm="1">
        <f t="array" ref="AF7">_xlfn.IFS(O7=1,1,O7=2,2,O7=0.5,0,O7=0,-1)</f>
        <v>0</v>
      </c>
      <c r="AG7" s="6" cm="1">
        <f t="array" ref="AG7">_xlfn.IFS(P7=1,1,P7=2,2,P7=0.5,0,P7=0,-1)</f>
        <v>1</v>
      </c>
      <c r="AH7">
        <f t="shared" si="0"/>
        <v>14</v>
      </c>
    </row>
    <row r="8" spans="1:34" x14ac:dyDescent="0.2">
      <c r="A8" t="s">
        <v>6</v>
      </c>
      <c r="B8" s="1">
        <v>0.5</v>
      </c>
      <c r="C8" s="1">
        <v>0.5</v>
      </c>
      <c r="D8" s="1">
        <v>2</v>
      </c>
      <c r="E8" s="1">
        <v>0.5</v>
      </c>
      <c r="F8" s="15">
        <v>2</v>
      </c>
      <c r="G8" s="1">
        <v>0.5</v>
      </c>
      <c r="H8" s="1">
        <v>0.5</v>
      </c>
      <c r="I8" s="1">
        <v>1</v>
      </c>
      <c r="J8" s="1">
        <v>1</v>
      </c>
      <c r="K8" s="1">
        <v>1</v>
      </c>
      <c r="L8" s="1">
        <v>0.5</v>
      </c>
      <c r="M8" s="1">
        <v>0.5</v>
      </c>
      <c r="N8" s="15">
        <v>2</v>
      </c>
      <c r="O8" s="1">
        <v>0.5</v>
      </c>
      <c r="P8" s="13">
        <v>1</v>
      </c>
      <c r="R8" t="s">
        <v>6</v>
      </c>
      <c r="S8" s="5" cm="1">
        <f t="array" ref="S8">_xlfn.IFS(B8=1,1,B8=2,2,B8=0.5,0,B8=0,-1)</f>
        <v>0</v>
      </c>
      <c r="T8" cm="1">
        <f t="array" ref="T8">_xlfn.IFS(C8=1,1,C8=2,2,C8=0.5,0,C8=0,-1)</f>
        <v>0</v>
      </c>
      <c r="U8" cm="1">
        <f t="array" ref="U8">_xlfn.IFS(D8=1,1,D8=2,2,D8=0.5,0,D8=0,-1)</f>
        <v>2</v>
      </c>
      <c r="V8" cm="1">
        <f t="array" ref="V8">_xlfn.IFS(E8=1,1,E8=2,2,E8=0.5,0,E8=0,-1)</f>
        <v>0</v>
      </c>
      <c r="W8" cm="1">
        <f t="array" ref="W8">_xlfn.IFS(F8=1,1,F8=2,2,F8=0.5,0,F8=0,-1)</f>
        <v>2</v>
      </c>
      <c r="X8" cm="1">
        <f t="array" ref="X8">_xlfn.IFS(G8=1,1,G8=2,2,G8=0.5,0,G8=0,-1)</f>
        <v>0</v>
      </c>
      <c r="Y8" cm="1">
        <f t="array" ref="Y8">_xlfn.IFS(H8=1,1,H8=2,2,H8=0.5,0,H8=0,-1)</f>
        <v>0</v>
      </c>
      <c r="Z8" cm="1">
        <f t="array" ref="Z8">_xlfn.IFS(I8=1,1,I8=2,2,I8=0.5,0,I8=0,-1)</f>
        <v>1</v>
      </c>
      <c r="AA8" cm="1">
        <f t="array" ref="AA8">_xlfn.IFS(J8=1,1,J8=2,2,J8=0.5,0,J8=0,-1)</f>
        <v>1</v>
      </c>
      <c r="AB8" cm="1">
        <f t="array" ref="AB8">_xlfn.IFS(K8=1,1,K8=2,2,K8=0.5,0,K8=0,-1)</f>
        <v>1</v>
      </c>
      <c r="AC8" cm="1">
        <f t="array" ref="AC8">_xlfn.IFS(L8=1,1,L8=2,2,L8=0.5,0,L8=0,-1)</f>
        <v>0</v>
      </c>
      <c r="AD8" cm="1">
        <f t="array" ref="AD8">_xlfn.IFS(M8=1,1,M8=2,2,M8=0.5,0,M8=0,-1)</f>
        <v>0</v>
      </c>
      <c r="AE8" cm="1">
        <f t="array" ref="AE8">_xlfn.IFS(N8=1,1,N8=2,2,N8=0.5,0,N8=0,-1)</f>
        <v>2</v>
      </c>
      <c r="AF8" cm="1">
        <f t="array" ref="AF8">_xlfn.IFS(O8=1,1,O8=2,2,O8=0.5,0,O8=0,-1)</f>
        <v>0</v>
      </c>
      <c r="AG8" s="6" cm="1">
        <f t="array" ref="AG8">_xlfn.IFS(P8=1,1,P8=2,2,P8=0.5,0,P8=0,-1)</f>
        <v>1</v>
      </c>
      <c r="AH8">
        <f t="shared" si="0"/>
        <v>10</v>
      </c>
    </row>
    <row r="9" spans="1:34" x14ac:dyDescent="0.2">
      <c r="A9" t="s">
        <v>7</v>
      </c>
      <c r="B9" s="1">
        <v>2</v>
      </c>
      <c r="C9" s="1">
        <v>1</v>
      </c>
      <c r="D9" s="1">
        <v>1</v>
      </c>
      <c r="E9" s="15">
        <v>0.5</v>
      </c>
      <c r="F9" s="1">
        <v>2</v>
      </c>
      <c r="G9" s="1">
        <v>2</v>
      </c>
      <c r="H9" s="1">
        <v>1</v>
      </c>
      <c r="I9" s="13">
        <v>1</v>
      </c>
      <c r="J9" s="13">
        <v>0</v>
      </c>
      <c r="K9" s="13">
        <v>0.5</v>
      </c>
      <c r="L9" s="13">
        <v>2</v>
      </c>
      <c r="M9" s="1">
        <v>1</v>
      </c>
      <c r="N9" s="1">
        <v>0.5</v>
      </c>
      <c r="O9" s="1">
        <v>1</v>
      </c>
      <c r="P9" s="13">
        <v>1</v>
      </c>
      <c r="R9" t="s">
        <v>7</v>
      </c>
      <c r="S9" s="5" cm="1">
        <f t="array" ref="S9">_xlfn.IFS(B9=1,1,B9=2,2,B9=0.5,0,B9=0,-1)</f>
        <v>2</v>
      </c>
      <c r="T9" cm="1">
        <f t="array" ref="T9">_xlfn.IFS(C9=1,1,C9=2,2,C9=0.5,0,C9=0,-1)</f>
        <v>1</v>
      </c>
      <c r="U9" cm="1">
        <f t="array" ref="U9">_xlfn.IFS(D9=1,1,D9=2,2,D9=0.5,0,D9=0,-1)</f>
        <v>1</v>
      </c>
      <c r="V9" cm="1">
        <f t="array" ref="V9">_xlfn.IFS(E9=1,1,E9=2,2,E9=0.5,0,E9=0,-1)</f>
        <v>0</v>
      </c>
      <c r="W9" cm="1">
        <f t="array" ref="W9">_xlfn.IFS(F9=1,1,F9=2,2,F9=0.5,0,F9=0,-1)</f>
        <v>2</v>
      </c>
      <c r="X9" cm="1">
        <f t="array" ref="X9">_xlfn.IFS(G9=1,1,G9=2,2,G9=0.5,0,G9=0,-1)</f>
        <v>2</v>
      </c>
      <c r="Y9" cm="1">
        <f t="array" ref="Y9">_xlfn.IFS(H9=1,1,H9=2,2,H9=0.5,0,H9=0,-1)</f>
        <v>1</v>
      </c>
      <c r="Z9" cm="1">
        <f t="array" ref="Z9">_xlfn.IFS(I9=1,1,I9=2,2,I9=0.5,0,I9=0,-1)</f>
        <v>1</v>
      </c>
      <c r="AA9" cm="1">
        <f t="array" ref="AA9">_xlfn.IFS(J9=1,1,J9=2,2,J9=0.5,0,J9=0,-1)</f>
        <v>-1</v>
      </c>
      <c r="AB9" cm="1">
        <f t="array" ref="AB9">_xlfn.IFS(K9=1,1,K9=2,2,K9=0.5,0,K9=0,-1)</f>
        <v>0</v>
      </c>
      <c r="AC9" cm="1">
        <f t="array" ref="AC9">_xlfn.IFS(L9=1,1,L9=2,2,L9=0.5,0,L9=0,-1)</f>
        <v>2</v>
      </c>
      <c r="AD9" cm="1">
        <f t="array" ref="AD9">_xlfn.IFS(M9=1,1,M9=2,2,M9=0.5,0,M9=0,-1)</f>
        <v>1</v>
      </c>
      <c r="AE9" cm="1">
        <f t="array" ref="AE9">_xlfn.IFS(N9=1,1,N9=2,2,N9=0.5,0,N9=0,-1)</f>
        <v>0</v>
      </c>
      <c r="AF9" cm="1">
        <f t="array" ref="AF9">_xlfn.IFS(O9=1,1,O9=2,2,O9=0.5,0,O9=0,-1)</f>
        <v>1</v>
      </c>
      <c r="AG9" s="6" cm="1">
        <f t="array" ref="AG9">_xlfn.IFS(P9=1,1,P9=2,2,P9=0.5,0,P9=0,-1)</f>
        <v>1</v>
      </c>
      <c r="AH9">
        <f t="shared" si="0"/>
        <v>14</v>
      </c>
    </row>
    <row r="10" spans="1:34" x14ac:dyDescent="0.2">
      <c r="A10" t="s">
        <v>8</v>
      </c>
      <c r="B10" s="1">
        <v>1</v>
      </c>
      <c r="C10" s="1">
        <v>1</v>
      </c>
      <c r="D10" s="1">
        <v>0.5</v>
      </c>
      <c r="E10" s="15">
        <v>0.5</v>
      </c>
      <c r="F10" s="1">
        <v>1</v>
      </c>
      <c r="G10" s="1">
        <v>0.5</v>
      </c>
      <c r="H10" s="1">
        <v>1</v>
      </c>
      <c r="I10" s="13">
        <v>2</v>
      </c>
      <c r="J10" s="13">
        <v>1</v>
      </c>
      <c r="K10" s="13">
        <v>0</v>
      </c>
      <c r="L10" s="13">
        <v>0.5</v>
      </c>
      <c r="M10" s="1">
        <v>1</v>
      </c>
      <c r="N10" s="1">
        <v>1</v>
      </c>
      <c r="O10" s="1">
        <v>2</v>
      </c>
      <c r="P10" s="13">
        <v>1</v>
      </c>
      <c r="R10" t="s">
        <v>8</v>
      </c>
      <c r="S10" s="5" cm="1">
        <f t="array" ref="S10">_xlfn.IFS(B10=1,1,B10=2,2,B10=0.5,0,B10=0,-1)</f>
        <v>1</v>
      </c>
      <c r="T10" cm="1">
        <f t="array" ref="T10">_xlfn.IFS(C10=1,1,C10=2,2,C10=0.5,0,C10=0,-1)</f>
        <v>1</v>
      </c>
      <c r="U10" cm="1">
        <f t="array" ref="U10">_xlfn.IFS(D10=1,1,D10=2,2,D10=0.5,0,D10=0,-1)</f>
        <v>0</v>
      </c>
      <c r="V10" cm="1">
        <f t="array" ref="V10">_xlfn.IFS(E10=1,1,E10=2,2,E10=0.5,0,E10=0,-1)</f>
        <v>0</v>
      </c>
      <c r="W10" cm="1">
        <f t="array" ref="W10">_xlfn.IFS(F10=1,1,F10=2,2,F10=0.5,0,F10=0,-1)</f>
        <v>1</v>
      </c>
      <c r="X10" cm="1">
        <f t="array" ref="X10">_xlfn.IFS(G10=1,1,G10=2,2,G10=0.5,0,G10=0,-1)</f>
        <v>0</v>
      </c>
      <c r="Y10" cm="1">
        <f t="array" ref="Y10">_xlfn.IFS(H10=1,1,H10=2,2,H10=0.5,0,H10=0,-1)</f>
        <v>1</v>
      </c>
      <c r="Z10" cm="1">
        <f t="array" ref="Z10">_xlfn.IFS(I10=1,1,I10=2,2,I10=0.5,0,I10=0,-1)</f>
        <v>2</v>
      </c>
      <c r="AA10" cm="1">
        <f t="array" ref="AA10">_xlfn.IFS(J10=1,1,J10=2,2,J10=0.5,0,J10=0,-1)</f>
        <v>1</v>
      </c>
      <c r="AB10" cm="1">
        <f t="array" ref="AB10">_xlfn.IFS(K10=1,1,K10=2,2,K10=0.5,0,K10=0,-1)</f>
        <v>-1</v>
      </c>
      <c r="AC10" cm="1">
        <f t="array" ref="AC10">_xlfn.IFS(L10=1,1,L10=2,2,L10=0.5,0,L10=0,-1)</f>
        <v>0</v>
      </c>
      <c r="AD10" cm="1">
        <f t="array" ref="AD10">_xlfn.IFS(M10=1,1,M10=2,2,M10=0.5,0,M10=0,-1)</f>
        <v>1</v>
      </c>
      <c r="AE10" cm="1">
        <f t="array" ref="AE10">_xlfn.IFS(N10=1,1,N10=2,2,N10=0.5,0,N10=0,-1)</f>
        <v>1</v>
      </c>
      <c r="AF10" cm="1">
        <f t="array" ref="AF10">_xlfn.IFS(O10=1,1,O10=2,2,O10=0.5,0,O10=0,-1)</f>
        <v>2</v>
      </c>
      <c r="AG10" s="6" cm="1">
        <f t="array" ref="AG10">_xlfn.IFS(P10=1,1,P10=2,2,P10=0.5,0,P10=0,-1)</f>
        <v>1</v>
      </c>
      <c r="AH10">
        <f t="shared" si="0"/>
        <v>11</v>
      </c>
    </row>
    <row r="11" spans="1:34" x14ac:dyDescent="0.2">
      <c r="A11" t="s">
        <v>9</v>
      </c>
      <c r="B11" s="1">
        <v>0.5</v>
      </c>
      <c r="C11" s="1">
        <v>1</v>
      </c>
      <c r="D11" s="1">
        <v>1</v>
      </c>
      <c r="E11" s="15">
        <v>0.5</v>
      </c>
      <c r="F11" s="1">
        <v>1</v>
      </c>
      <c r="G11" s="1">
        <v>2</v>
      </c>
      <c r="H11" s="1">
        <v>1</v>
      </c>
      <c r="I11" s="13">
        <v>0.5</v>
      </c>
      <c r="J11" s="13">
        <v>2</v>
      </c>
      <c r="K11" s="13">
        <v>1</v>
      </c>
      <c r="L11" s="13">
        <v>0</v>
      </c>
      <c r="M11" s="1">
        <v>1</v>
      </c>
      <c r="N11" s="1">
        <v>2</v>
      </c>
      <c r="O11" s="1">
        <v>1</v>
      </c>
      <c r="P11" s="13">
        <v>1</v>
      </c>
      <c r="R11" t="s">
        <v>9</v>
      </c>
      <c r="S11" s="5" cm="1">
        <f t="array" ref="S11">_xlfn.IFS(B11=1,1,B11=2,2,B11=0.5,0,B11=0,-1)</f>
        <v>0</v>
      </c>
      <c r="T11" cm="1">
        <f t="array" ref="T11">_xlfn.IFS(C11=1,1,C11=2,2,C11=0.5,0,C11=0,-1)</f>
        <v>1</v>
      </c>
      <c r="U11" cm="1">
        <f t="array" ref="U11">_xlfn.IFS(D11=1,1,D11=2,2,D11=0.5,0,D11=0,-1)</f>
        <v>1</v>
      </c>
      <c r="V11" cm="1">
        <f t="array" ref="V11">_xlfn.IFS(E11=1,1,E11=2,2,E11=0.5,0,E11=0,-1)</f>
        <v>0</v>
      </c>
      <c r="W11" cm="1">
        <f t="array" ref="W11">_xlfn.IFS(F11=1,1,F11=2,2,F11=0.5,0,F11=0,-1)</f>
        <v>1</v>
      </c>
      <c r="X11" cm="1">
        <f t="array" ref="X11">_xlfn.IFS(G11=1,1,G11=2,2,G11=0.5,0,G11=0,-1)</f>
        <v>2</v>
      </c>
      <c r="Y11" cm="1">
        <f t="array" ref="Y11">_xlfn.IFS(H11=1,1,H11=2,2,H11=0.5,0,H11=0,-1)</f>
        <v>1</v>
      </c>
      <c r="Z11" cm="1">
        <f t="array" ref="Z11">_xlfn.IFS(I11=1,1,I11=2,2,I11=0.5,0,I11=0,-1)</f>
        <v>0</v>
      </c>
      <c r="AA11" cm="1">
        <f t="array" ref="AA11">_xlfn.IFS(J11=1,1,J11=2,2,J11=0.5,0,J11=0,-1)</f>
        <v>2</v>
      </c>
      <c r="AB11" cm="1">
        <f t="array" ref="AB11">_xlfn.IFS(K11=1,1,K11=2,2,K11=0.5,0,K11=0,-1)</f>
        <v>1</v>
      </c>
      <c r="AC11" cm="1">
        <f t="array" ref="AC11">_xlfn.IFS(L11=1,1,L11=2,2,L11=0.5,0,L11=0,-1)</f>
        <v>-1</v>
      </c>
      <c r="AD11" cm="1">
        <f t="array" ref="AD11">_xlfn.IFS(M11=1,1,M11=2,2,M11=0.5,0,M11=0,-1)</f>
        <v>1</v>
      </c>
      <c r="AE11" cm="1">
        <f t="array" ref="AE11">_xlfn.IFS(N11=1,1,N11=2,2,N11=0.5,0,N11=0,-1)</f>
        <v>2</v>
      </c>
      <c r="AF11" cm="1">
        <f t="array" ref="AF11">_xlfn.IFS(O11=1,1,O11=2,2,O11=0.5,0,O11=0,-1)</f>
        <v>1</v>
      </c>
      <c r="AG11" s="6" cm="1">
        <f t="array" ref="AG11">_xlfn.IFS(P11=1,1,P11=2,2,P11=0.5,0,P11=0,-1)</f>
        <v>1</v>
      </c>
      <c r="AH11">
        <f t="shared" si="0"/>
        <v>13</v>
      </c>
    </row>
    <row r="12" spans="1:34" x14ac:dyDescent="0.2">
      <c r="A12" t="s">
        <v>10</v>
      </c>
      <c r="B12" s="1">
        <v>2</v>
      </c>
      <c r="C12" s="1">
        <v>1</v>
      </c>
      <c r="D12" s="1">
        <v>1</v>
      </c>
      <c r="E12" s="1">
        <v>1</v>
      </c>
      <c r="F12" s="1">
        <v>2</v>
      </c>
      <c r="G12" s="1">
        <v>0.5</v>
      </c>
      <c r="H12" s="1">
        <v>0.5</v>
      </c>
      <c r="I12" s="13">
        <v>0</v>
      </c>
      <c r="J12" s="13">
        <v>0.5</v>
      </c>
      <c r="K12" s="13">
        <v>2</v>
      </c>
      <c r="L12" s="13">
        <v>1</v>
      </c>
      <c r="M12" s="1">
        <v>1</v>
      </c>
      <c r="N12" s="1">
        <v>1</v>
      </c>
      <c r="O12" s="1">
        <v>0.5</v>
      </c>
      <c r="P12" s="13">
        <v>1</v>
      </c>
      <c r="R12" t="s">
        <v>10</v>
      </c>
      <c r="S12" s="5" cm="1">
        <f t="array" ref="S12">_xlfn.IFS(B12=1,1,B12=2,2,B12=0.5,0,B12=0,-1)</f>
        <v>2</v>
      </c>
      <c r="T12" cm="1">
        <f t="array" ref="T12">_xlfn.IFS(C12=1,1,C12=2,2,C12=0.5,0,C12=0,-1)</f>
        <v>1</v>
      </c>
      <c r="U12" cm="1">
        <f t="array" ref="U12">_xlfn.IFS(D12=1,1,D12=2,2,D12=0.5,0,D12=0,-1)</f>
        <v>1</v>
      </c>
      <c r="V12" cm="1">
        <f t="array" ref="V12">_xlfn.IFS(E12=1,1,E12=2,2,E12=0.5,0,E12=0,-1)</f>
        <v>1</v>
      </c>
      <c r="W12" cm="1">
        <f t="array" ref="W12">_xlfn.IFS(F12=1,1,F12=2,2,F12=0.5,0,F12=0,-1)</f>
        <v>2</v>
      </c>
      <c r="X12" cm="1">
        <f t="array" ref="X12">_xlfn.IFS(G12=1,1,G12=2,2,G12=0.5,0,G12=0,-1)</f>
        <v>0</v>
      </c>
      <c r="Y12" cm="1">
        <f t="array" ref="Y12">_xlfn.IFS(H12=1,1,H12=2,2,H12=0.5,0,H12=0,-1)</f>
        <v>0</v>
      </c>
      <c r="Z12" cm="1">
        <f t="array" ref="Z12">_xlfn.IFS(I12=1,1,I12=2,2,I12=0.5,0,I12=0,-1)</f>
        <v>-1</v>
      </c>
      <c r="AA12" cm="1">
        <f t="array" ref="AA12">_xlfn.IFS(J12=1,1,J12=2,2,J12=0.5,0,J12=0,-1)</f>
        <v>0</v>
      </c>
      <c r="AB12" cm="1">
        <f t="array" ref="AB12">_xlfn.IFS(K12=1,1,K12=2,2,K12=0.5,0,K12=0,-1)</f>
        <v>2</v>
      </c>
      <c r="AC12" cm="1">
        <f t="array" ref="AC12">_xlfn.IFS(L12=1,1,L12=2,2,L12=0.5,0,L12=0,-1)</f>
        <v>1</v>
      </c>
      <c r="AD12" cm="1">
        <f t="array" ref="AD12">_xlfn.IFS(M12=1,1,M12=2,2,M12=0.5,0,M12=0,-1)</f>
        <v>1</v>
      </c>
      <c r="AE12" cm="1">
        <f t="array" ref="AE12">_xlfn.IFS(N12=1,1,N12=2,2,N12=0.5,0,N12=0,-1)</f>
        <v>1</v>
      </c>
      <c r="AF12" cm="1">
        <f t="array" ref="AF12">_xlfn.IFS(O12=1,1,O12=2,2,O12=0.5,0,O12=0,-1)</f>
        <v>0</v>
      </c>
      <c r="AG12" s="6" cm="1">
        <f t="array" ref="AG12">_xlfn.IFS(P12=1,1,P12=2,2,P12=0.5,0,P12=0,-1)</f>
        <v>1</v>
      </c>
      <c r="AH12">
        <f t="shared" si="0"/>
        <v>12</v>
      </c>
    </row>
    <row r="13" spans="1:34" x14ac:dyDescent="0.2">
      <c r="A13" t="s">
        <v>11</v>
      </c>
      <c r="B13" s="1">
        <v>1</v>
      </c>
      <c r="C13" s="1">
        <v>1</v>
      </c>
      <c r="D13" s="1">
        <v>1</v>
      </c>
      <c r="E13" s="1">
        <v>1</v>
      </c>
      <c r="F13" s="1">
        <v>2</v>
      </c>
      <c r="G13" s="1">
        <v>1</v>
      </c>
      <c r="H13" s="1">
        <v>1</v>
      </c>
      <c r="I13" s="14">
        <v>2</v>
      </c>
      <c r="J13" s="1">
        <v>1</v>
      </c>
      <c r="K13" s="1">
        <v>1</v>
      </c>
      <c r="L13" s="1">
        <v>0.5</v>
      </c>
      <c r="M13" s="13">
        <v>0.5</v>
      </c>
      <c r="N13" s="13">
        <v>0</v>
      </c>
      <c r="O13" s="13">
        <v>0.5</v>
      </c>
      <c r="P13" s="13">
        <v>1</v>
      </c>
      <c r="R13" t="s">
        <v>11</v>
      </c>
      <c r="S13" s="5" cm="1">
        <f t="array" ref="S13">_xlfn.IFS(B13=1,1,B13=2,2,B13=0.5,0,B13=0,-1)</f>
        <v>1</v>
      </c>
      <c r="T13" cm="1">
        <f t="array" ref="T13">_xlfn.IFS(C13=1,1,C13=2,2,C13=0.5,0,C13=0,-1)</f>
        <v>1</v>
      </c>
      <c r="U13" cm="1">
        <f t="array" ref="U13">_xlfn.IFS(D13=1,1,D13=2,2,D13=0.5,0,D13=0,-1)</f>
        <v>1</v>
      </c>
      <c r="V13" cm="1">
        <f t="array" ref="V13">_xlfn.IFS(E13=1,1,E13=2,2,E13=0.5,0,E13=0,-1)</f>
        <v>1</v>
      </c>
      <c r="W13" cm="1">
        <f t="array" ref="W13">_xlfn.IFS(F13=1,1,F13=2,2,F13=0.5,0,F13=0,-1)</f>
        <v>2</v>
      </c>
      <c r="X13" cm="1">
        <f t="array" ref="X13">_xlfn.IFS(G13=1,1,G13=2,2,G13=0.5,0,G13=0,-1)</f>
        <v>1</v>
      </c>
      <c r="Y13" cm="1">
        <f t="array" ref="Y13">_xlfn.IFS(H13=1,1,H13=2,2,H13=0.5,0,H13=0,-1)</f>
        <v>1</v>
      </c>
      <c r="Z13" cm="1">
        <f t="array" ref="Z13">_xlfn.IFS(I13=1,1,I13=2,2,I13=0.5,0,I13=0,-1)</f>
        <v>2</v>
      </c>
      <c r="AA13" cm="1">
        <f t="array" ref="AA13">_xlfn.IFS(J13=1,1,J13=2,2,J13=0.5,0,J13=0,-1)</f>
        <v>1</v>
      </c>
      <c r="AB13" cm="1">
        <f t="array" ref="AB13">_xlfn.IFS(K13=1,1,K13=2,2,K13=0.5,0,K13=0,-1)</f>
        <v>1</v>
      </c>
      <c r="AC13" cm="1">
        <f t="array" ref="AC13">_xlfn.IFS(L13=1,1,L13=2,2,L13=0.5,0,L13=0,-1)</f>
        <v>0</v>
      </c>
      <c r="AD13" cm="1">
        <f t="array" ref="AD13">_xlfn.IFS(M13=1,1,M13=2,2,M13=0.5,0,M13=0,-1)</f>
        <v>0</v>
      </c>
      <c r="AE13" cm="1">
        <f t="array" ref="AE13">_xlfn.IFS(N13=1,1,N13=2,2,N13=0.5,0,N13=0,-1)</f>
        <v>-1</v>
      </c>
      <c r="AF13" cm="1">
        <f t="array" ref="AF13">_xlfn.IFS(O13=1,1,O13=2,2,O13=0.5,0,O13=0,-1)</f>
        <v>0</v>
      </c>
      <c r="AG13" s="6" cm="1">
        <f t="array" ref="AG13">_xlfn.IFS(P13=1,1,P13=2,2,P13=0.5,0,P13=0,-1)</f>
        <v>1</v>
      </c>
      <c r="AH13">
        <f t="shared" si="0"/>
        <v>12</v>
      </c>
    </row>
    <row r="14" spans="1:34" x14ac:dyDescent="0.2">
      <c r="A14" t="s">
        <v>12</v>
      </c>
      <c r="B14" s="1">
        <v>1</v>
      </c>
      <c r="C14" s="1">
        <v>0.5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4">
        <v>2</v>
      </c>
      <c r="J14" s="1">
        <v>1</v>
      </c>
      <c r="K14" s="1">
        <v>0.5</v>
      </c>
      <c r="L14" s="1">
        <v>0.5</v>
      </c>
      <c r="M14" s="13">
        <v>2</v>
      </c>
      <c r="N14" s="13">
        <v>0.5</v>
      </c>
      <c r="O14" s="13">
        <v>2</v>
      </c>
      <c r="P14" s="13">
        <v>1</v>
      </c>
      <c r="R14" t="s">
        <v>12</v>
      </c>
      <c r="S14" s="5" cm="1">
        <f t="array" ref="S14">_xlfn.IFS(B14=1,1,B14=2,2,B14=0.5,0,B14=0,-1)</f>
        <v>1</v>
      </c>
      <c r="T14" cm="1">
        <f t="array" ref="T14">_xlfn.IFS(C14=1,1,C14=2,2,C14=0.5,0,C14=0,-1)</f>
        <v>0</v>
      </c>
      <c r="U14" cm="1">
        <f t="array" ref="U14">_xlfn.IFS(D14=1,1,D14=2,2,D14=0.5,0,D14=0,-1)</f>
        <v>1</v>
      </c>
      <c r="V14" cm="1">
        <f t="array" ref="V14">_xlfn.IFS(E14=1,1,E14=2,2,E14=0.5,0,E14=0,-1)</f>
        <v>1</v>
      </c>
      <c r="W14" cm="1">
        <f t="array" ref="W14">_xlfn.IFS(F14=1,1,F14=2,2,F14=0.5,0,F14=0,-1)</f>
        <v>1</v>
      </c>
      <c r="X14" cm="1">
        <f t="array" ref="X14">_xlfn.IFS(G14=1,1,G14=2,2,G14=0.5,0,G14=0,-1)</f>
        <v>1</v>
      </c>
      <c r="Y14" cm="1">
        <f t="array" ref="Y14">_xlfn.IFS(H14=1,1,H14=2,2,H14=0.5,0,H14=0,-1)</f>
        <v>1</v>
      </c>
      <c r="Z14" cm="1">
        <f t="array" ref="Z14">_xlfn.IFS(I14=1,1,I14=2,2,I14=0.5,0,I14=0,-1)</f>
        <v>2</v>
      </c>
      <c r="AA14" cm="1">
        <f t="array" ref="AA14">_xlfn.IFS(J14=1,1,J14=2,2,J14=0.5,0,J14=0,-1)</f>
        <v>1</v>
      </c>
      <c r="AB14" cm="1">
        <f t="array" ref="AB14">_xlfn.IFS(K14=1,1,K14=2,2,K14=0.5,0,K14=0,-1)</f>
        <v>0</v>
      </c>
      <c r="AC14" cm="1">
        <f t="array" ref="AC14">_xlfn.IFS(L14=1,1,L14=2,2,L14=0.5,0,L14=0,-1)</f>
        <v>0</v>
      </c>
      <c r="AD14" cm="1">
        <f t="array" ref="AD14">_xlfn.IFS(M14=1,1,M14=2,2,M14=0.5,0,M14=0,-1)</f>
        <v>2</v>
      </c>
      <c r="AE14" cm="1">
        <f t="array" ref="AE14">_xlfn.IFS(N14=1,1,N14=2,2,N14=0.5,0,N14=0,-1)</f>
        <v>0</v>
      </c>
      <c r="AF14" cm="1">
        <f t="array" ref="AF14">_xlfn.IFS(O14=1,1,O14=2,2,O14=0.5,0,O14=0,-1)</f>
        <v>2</v>
      </c>
      <c r="AG14" s="6" cm="1">
        <f t="array" ref="AG14">_xlfn.IFS(P14=1,1,P14=2,2,P14=0.5,0,P14=0,-1)</f>
        <v>1</v>
      </c>
      <c r="AH14">
        <f t="shared" si="0"/>
        <v>14</v>
      </c>
    </row>
    <row r="15" spans="1:34" x14ac:dyDescent="0.2">
      <c r="A15" t="s">
        <v>13</v>
      </c>
      <c r="B15" s="1">
        <v>1</v>
      </c>
      <c r="C15" s="1">
        <v>1</v>
      </c>
      <c r="D15" s="1">
        <v>1</v>
      </c>
      <c r="E15" s="1">
        <v>1</v>
      </c>
      <c r="F15" s="1">
        <v>2</v>
      </c>
      <c r="G15" s="1">
        <v>1</v>
      </c>
      <c r="H15" s="1">
        <v>0.5</v>
      </c>
      <c r="I15" s="14">
        <v>2</v>
      </c>
      <c r="J15" s="1">
        <v>0.5</v>
      </c>
      <c r="K15" s="1">
        <v>2</v>
      </c>
      <c r="L15" s="1">
        <v>1</v>
      </c>
      <c r="M15" s="13">
        <v>0.5</v>
      </c>
      <c r="N15" s="13">
        <v>0</v>
      </c>
      <c r="O15" s="13">
        <v>0.5</v>
      </c>
      <c r="P15" s="13">
        <v>1</v>
      </c>
      <c r="R15" t="s">
        <v>13</v>
      </c>
      <c r="S15" s="5" cm="1">
        <f t="array" ref="S15">_xlfn.IFS(B15=1,1,B15=2,2,B15=0.5,0,B15=0,-1)</f>
        <v>1</v>
      </c>
      <c r="T15" cm="1">
        <f t="array" ref="T15">_xlfn.IFS(C15=1,1,C15=2,2,C15=0.5,0,C15=0,-1)</f>
        <v>1</v>
      </c>
      <c r="U15" cm="1">
        <f t="array" ref="U15">_xlfn.IFS(D15=1,1,D15=2,2,D15=0.5,0,D15=0,-1)</f>
        <v>1</v>
      </c>
      <c r="V15" cm="1">
        <f t="array" ref="V15">_xlfn.IFS(E15=1,1,E15=2,2,E15=0.5,0,E15=0,-1)</f>
        <v>1</v>
      </c>
      <c r="W15" cm="1">
        <f t="array" ref="W15">_xlfn.IFS(F15=1,1,F15=2,2,F15=0.5,0,F15=0,-1)</f>
        <v>2</v>
      </c>
      <c r="X15" cm="1">
        <f t="array" ref="X15">_xlfn.IFS(G15=1,1,G15=2,2,G15=0.5,0,G15=0,-1)</f>
        <v>1</v>
      </c>
      <c r="Y15" cm="1">
        <f t="array" ref="Y15">_xlfn.IFS(H15=1,1,H15=2,2,H15=0.5,0,H15=0,-1)</f>
        <v>0</v>
      </c>
      <c r="Z15" cm="1">
        <f t="array" ref="Z15">_xlfn.IFS(I15=1,1,I15=2,2,I15=0.5,0,I15=0,-1)</f>
        <v>2</v>
      </c>
      <c r="AA15" cm="1">
        <f t="array" ref="AA15">_xlfn.IFS(J15=1,1,J15=2,2,J15=0.5,0,J15=0,-1)</f>
        <v>0</v>
      </c>
      <c r="AB15" cm="1">
        <f t="array" ref="AB15">_xlfn.IFS(K15=1,1,K15=2,2,K15=0.5,0,K15=0,-1)</f>
        <v>2</v>
      </c>
      <c r="AC15" cm="1">
        <f t="array" ref="AC15">_xlfn.IFS(L15=1,1,L15=2,2,L15=0.5,0,L15=0,-1)</f>
        <v>1</v>
      </c>
      <c r="AD15" cm="1">
        <f t="array" ref="AD15">_xlfn.IFS(M15=1,1,M15=2,2,M15=0.5,0,M15=0,-1)</f>
        <v>0</v>
      </c>
      <c r="AE15" cm="1">
        <f t="array" ref="AE15">_xlfn.IFS(N15=1,1,N15=2,2,N15=0.5,0,N15=0,-1)</f>
        <v>-1</v>
      </c>
      <c r="AF15" cm="1">
        <f t="array" ref="AF15">_xlfn.IFS(O15=1,1,O15=2,2,O15=0.5,0,O15=0,-1)</f>
        <v>0</v>
      </c>
      <c r="AG15" s="6" cm="1">
        <f t="array" ref="AG15">_xlfn.IFS(P15=1,1,P15=2,2,P15=0.5,0,P15=0,-1)</f>
        <v>1</v>
      </c>
      <c r="AH15">
        <f t="shared" si="0"/>
        <v>12</v>
      </c>
    </row>
    <row r="16" spans="1:34" x14ac:dyDescent="0.2">
      <c r="A16" t="s">
        <v>14</v>
      </c>
      <c r="B16" s="13">
        <v>1</v>
      </c>
      <c r="C16" s="13">
        <v>1</v>
      </c>
      <c r="D16" s="13">
        <v>1</v>
      </c>
      <c r="E16" s="13">
        <v>1</v>
      </c>
      <c r="F16" s="13">
        <v>1</v>
      </c>
      <c r="G16" s="13">
        <v>1</v>
      </c>
      <c r="H16" s="13">
        <v>1</v>
      </c>
      <c r="I16" s="13">
        <v>1</v>
      </c>
      <c r="J16" s="13">
        <v>1</v>
      </c>
      <c r="K16" s="13">
        <v>1</v>
      </c>
      <c r="L16" s="13">
        <v>1</v>
      </c>
      <c r="M16" s="13">
        <v>1</v>
      </c>
      <c r="N16" s="13">
        <v>1</v>
      </c>
      <c r="O16" s="13">
        <v>1</v>
      </c>
      <c r="P16" s="13">
        <v>1</v>
      </c>
      <c r="R16" t="s">
        <v>14</v>
      </c>
      <c r="S16" s="7" cm="1">
        <f t="array" ref="S16">_xlfn.IFS(B16=1,1,B16=2,2,B16=0.5,0,B16=0,-1)</f>
        <v>1</v>
      </c>
      <c r="T16" s="8" cm="1">
        <f t="array" ref="T16">_xlfn.IFS(C16=1,1,C16=2,2,C16=0.5,0,C16=0,-1)</f>
        <v>1</v>
      </c>
      <c r="U16" s="8" cm="1">
        <f t="array" ref="U16">_xlfn.IFS(D16=1,1,D16=2,2,D16=0.5,0,D16=0,-1)</f>
        <v>1</v>
      </c>
      <c r="V16" s="8" cm="1">
        <f t="array" ref="V16">_xlfn.IFS(E16=1,1,E16=2,2,E16=0.5,0,E16=0,-1)</f>
        <v>1</v>
      </c>
      <c r="W16" s="8" cm="1">
        <f t="array" ref="W16">_xlfn.IFS(F16=1,1,F16=2,2,F16=0.5,0,F16=0,-1)</f>
        <v>1</v>
      </c>
      <c r="X16" s="8" cm="1">
        <f t="array" ref="X16">_xlfn.IFS(G16=1,1,G16=2,2,G16=0.5,0,G16=0,-1)</f>
        <v>1</v>
      </c>
      <c r="Y16" s="8" cm="1">
        <f t="array" ref="Y16">_xlfn.IFS(H16=1,1,H16=2,2,H16=0.5,0,H16=0,-1)</f>
        <v>1</v>
      </c>
      <c r="Z16" s="8" cm="1">
        <f t="array" ref="Z16">_xlfn.IFS(I16=1,1,I16=2,2,I16=0.5,0,I16=0,-1)</f>
        <v>1</v>
      </c>
      <c r="AA16" s="8" cm="1">
        <f t="array" ref="AA16">_xlfn.IFS(J16=1,1,J16=2,2,J16=0.5,0,J16=0,-1)</f>
        <v>1</v>
      </c>
      <c r="AB16" s="8" cm="1">
        <f t="array" ref="AB16">_xlfn.IFS(K16=1,1,K16=2,2,K16=0.5,0,K16=0,-1)</f>
        <v>1</v>
      </c>
      <c r="AC16" s="8" cm="1">
        <f t="array" ref="AC16">_xlfn.IFS(L16=1,1,L16=2,2,L16=0.5,0,L16=0,-1)</f>
        <v>1</v>
      </c>
      <c r="AD16" s="8" cm="1">
        <f t="array" ref="AD16">_xlfn.IFS(M16=1,1,M16=2,2,M16=0.5,0,M16=0,-1)</f>
        <v>1</v>
      </c>
      <c r="AE16" s="8" cm="1">
        <f t="array" ref="AE16">_xlfn.IFS(N16=1,1,N16=2,2,N16=0.5,0,N16=0,-1)</f>
        <v>1</v>
      </c>
      <c r="AF16" s="8" cm="1">
        <f t="array" ref="AF16">_xlfn.IFS(O16=1,1,O16=2,2,O16=0.5,0,O16=0,-1)</f>
        <v>1</v>
      </c>
      <c r="AG16" s="9" cm="1">
        <f t="array" ref="AG16">_xlfn.IFS(P16=1,1,P16=2,2,P16=0.5,0,P16=0,-1)</f>
        <v>1</v>
      </c>
      <c r="AH16">
        <f t="shared" si="0"/>
        <v>15</v>
      </c>
    </row>
    <row r="17" spans="1:34" x14ac:dyDescent="0.2">
      <c r="S17">
        <f>SUM(S2:S16)</f>
        <v>16</v>
      </c>
      <c r="T17">
        <f t="shared" ref="T17:AH17" si="1">SUM(T2:T16)</f>
        <v>13</v>
      </c>
      <c r="U17">
        <f t="shared" si="1"/>
        <v>13</v>
      </c>
      <c r="V17">
        <f t="shared" si="1"/>
        <v>9</v>
      </c>
      <c r="W17">
        <f t="shared" si="1"/>
        <v>16</v>
      </c>
      <c r="X17">
        <f t="shared" si="1"/>
        <v>14</v>
      </c>
      <c r="Y17">
        <f t="shared" si="1"/>
        <v>10</v>
      </c>
      <c r="Z17">
        <f t="shared" si="1"/>
        <v>14</v>
      </c>
      <c r="AA17">
        <f t="shared" si="1"/>
        <v>11</v>
      </c>
      <c r="AB17">
        <f t="shared" si="1"/>
        <v>13</v>
      </c>
      <c r="AC17">
        <f t="shared" si="1"/>
        <v>12</v>
      </c>
      <c r="AD17">
        <f t="shared" si="1"/>
        <v>13</v>
      </c>
      <c r="AE17">
        <f t="shared" si="1"/>
        <v>14</v>
      </c>
      <c r="AF17">
        <f t="shared" si="1"/>
        <v>11</v>
      </c>
      <c r="AG17">
        <f t="shared" si="1"/>
        <v>15</v>
      </c>
      <c r="AH17">
        <f t="shared" si="1"/>
        <v>194</v>
      </c>
    </row>
    <row r="19" spans="1:34" x14ac:dyDescent="0.2">
      <c r="A19" t="s">
        <v>15</v>
      </c>
      <c r="S19" t="s">
        <v>33</v>
      </c>
      <c r="T19" t="s">
        <v>34</v>
      </c>
      <c r="U19" t="s">
        <v>35</v>
      </c>
    </row>
    <row r="20" spans="1:34" x14ac:dyDescent="0.2">
      <c r="R20" t="s">
        <v>0</v>
      </c>
      <c r="S20">
        <f>AH2</f>
        <v>16</v>
      </c>
      <c r="T20">
        <f>S17</f>
        <v>16</v>
      </c>
      <c r="U20">
        <f>S20-T20</f>
        <v>0</v>
      </c>
      <c r="W20">
        <v>15</v>
      </c>
      <c r="X20">
        <v>16</v>
      </c>
      <c r="Y20" t="b">
        <f>OR(S20=X20,S20=W20)</f>
        <v>1</v>
      </c>
      <c r="Z20" t="b">
        <f>U20=0</f>
        <v>1</v>
      </c>
      <c r="AA20" t="b">
        <f>AND(Z20,Y20)</f>
        <v>1</v>
      </c>
    </row>
    <row r="21" spans="1:34" x14ac:dyDescent="0.2">
      <c r="A21" t="s">
        <v>16</v>
      </c>
      <c r="R21" t="s">
        <v>1</v>
      </c>
      <c r="S21">
        <f t="shared" ref="S21:S34" si="2">AH3</f>
        <v>13</v>
      </c>
      <c r="T21">
        <f>T17</f>
        <v>13</v>
      </c>
      <c r="U21">
        <f t="shared" ref="U21:U34" si="3">S21-T21</f>
        <v>0</v>
      </c>
      <c r="W21">
        <v>13</v>
      </c>
      <c r="X21">
        <v>14</v>
      </c>
      <c r="Y21" t="b">
        <f t="shared" ref="Y21:Y34" si="4">OR(S21=X21,S21=W21)</f>
        <v>1</v>
      </c>
      <c r="Z21" t="b">
        <f t="shared" ref="Z21:Z34" si="5">U21=0</f>
        <v>1</v>
      </c>
      <c r="AA21" t="b">
        <f t="shared" ref="AA21:AA34" si="6">AND(Z21,Y21)</f>
        <v>1</v>
      </c>
    </row>
    <row r="22" spans="1:34" x14ac:dyDescent="0.2">
      <c r="A22" t="s">
        <v>17</v>
      </c>
      <c r="R22" t="s">
        <v>2</v>
      </c>
      <c r="S22">
        <f t="shared" si="2"/>
        <v>13</v>
      </c>
      <c r="T22">
        <f>U17</f>
        <v>13</v>
      </c>
      <c r="U22">
        <f t="shared" si="3"/>
        <v>0</v>
      </c>
      <c r="W22">
        <v>12</v>
      </c>
      <c r="X22">
        <v>13</v>
      </c>
      <c r="Y22" t="b">
        <f t="shared" si="4"/>
        <v>1</v>
      </c>
      <c r="Z22" t="b">
        <f t="shared" si="5"/>
        <v>1</v>
      </c>
      <c r="AA22" t="b">
        <f t="shared" si="6"/>
        <v>1</v>
      </c>
    </row>
    <row r="23" spans="1:34" x14ac:dyDescent="0.2">
      <c r="A23" t="s">
        <v>18</v>
      </c>
      <c r="I23" t="s">
        <v>27</v>
      </c>
      <c r="R23" t="s">
        <v>3</v>
      </c>
      <c r="S23">
        <f t="shared" si="2"/>
        <v>10</v>
      </c>
      <c r="T23">
        <f>V17</f>
        <v>9</v>
      </c>
      <c r="U23">
        <f t="shared" si="3"/>
        <v>1</v>
      </c>
      <c r="V23" t="s">
        <v>92</v>
      </c>
      <c r="W23">
        <v>9</v>
      </c>
      <c r="X23">
        <v>10</v>
      </c>
      <c r="Y23" t="b">
        <f t="shared" si="4"/>
        <v>1</v>
      </c>
      <c r="Z23" t="b">
        <f>U23=1</f>
        <v>1</v>
      </c>
      <c r="AA23" t="b">
        <f t="shared" si="6"/>
        <v>1</v>
      </c>
    </row>
    <row r="24" spans="1:34" x14ac:dyDescent="0.2">
      <c r="A24" t="s">
        <v>19</v>
      </c>
      <c r="I24" t="s">
        <v>28</v>
      </c>
      <c r="R24" t="s">
        <v>4</v>
      </c>
      <c r="S24">
        <f t="shared" si="2"/>
        <v>15</v>
      </c>
      <c r="T24">
        <f>W17</f>
        <v>16</v>
      </c>
      <c r="U24">
        <f t="shared" si="3"/>
        <v>-1</v>
      </c>
      <c r="V24" t="s">
        <v>93</v>
      </c>
      <c r="W24">
        <v>14</v>
      </c>
      <c r="X24">
        <v>15</v>
      </c>
      <c r="Y24" t="b">
        <f t="shared" si="4"/>
        <v>1</v>
      </c>
      <c r="Z24" t="b">
        <f>U24=-1</f>
        <v>1</v>
      </c>
      <c r="AA24" t="b">
        <f t="shared" si="6"/>
        <v>1</v>
      </c>
    </row>
    <row r="25" spans="1:34" x14ac:dyDescent="0.2">
      <c r="A25" t="s">
        <v>20</v>
      </c>
      <c r="I25" t="s">
        <v>29</v>
      </c>
      <c r="R25" t="s">
        <v>5</v>
      </c>
      <c r="S25">
        <f t="shared" si="2"/>
        <v>14</v>
      </c>
      <c r="T25">
        <f>X17</f>
        <v>14</v>
      </c>
      <c r="U25">
        <f t="shared" si="3"/>
        <v>0</v>
      </c>
      <c r="W25">
        <v>14</v>
      </c>
      <c r="X25">
        <v>15</v>
      </c>
      <c r="Y25" t="b">
        <f t="shared" si="4"/>
        <v>1</v>
      </c>
      <c r="Z25" t="b">
        <f t="shared" si="5"/>
        <v>1</v>
      </c>
      <c r="AA25" t="b">
        <f t="shared" si="6"/>
        <v>1</v>
      </c>
    </row>
    <row r="26" spans="1:34" x14ac:dyDescent="0.2">
      <c r="A26" t="s">
        <v>21</v>
      </c>
      <c r="I26" t="s">
        <v>30</v>
      </c>
      <c r="R26" t="s">
        <v>6</v>
      </c>
      <c r="S26">
        <f t="shared" si="2"/>
        <v>10</v>
      </c>
      <c r="T26">
        <f>Y17</f>
        <v>10</v>
      </c>
      <c r="U26">
        <f t="shared" si="3"/>
        <v>0</v>
      </c>
      <c r="W26">
        <v>9</v>
      </c>
      <c r="X26">
        <v>10</v>
      </c>
      <c r="Y26" t="b">
        <f t="shared" si="4"/>
        <v>1</v>
      </c>
      <c r="Z26" t="b">
        <f t="shared" si="5"/>
        <v>1</v>
      </c>
      <c r="AA26" t="b">
        <f t="shared" si="6"/>
        <v>1</v>
      </c>
    </row>
    <row r="27" spans="1:34" x14ac:dyDescent="0.2">
      <c r="A27" t="s">
        <v>22</v>
      </c>
      <c r="I27" t="s">
        <v>31</v>
      </c>
      <c r="R27" t="s">
        <v>7</v>
      </c>
      <c r="S27">
        <f t="shared" si="2"/>
        <v>14</v>
      </c>
      <c r="T27">
        <f>Z17</f>
        <v>14</v>
      </c>
      <c r="U27">
        <f t="shared" si="3"/>
        <v>0</v>
      </c>
      <c r="W27">
        <v>13</v>
      </c>
      <c r="X27">
        <v>14</v>
      </c>
      <c r="Y27" t="b">
        <f t="shared" si="4"/>
        <v>1</v>
      </c>
      <c r="Z27" t="b">
        <f t="shared" si="5"/>
        <v>1</v>
      </c>
      <c r="AA27" t="b">
        <f t="shared" si="6"/>
        <v>1</v>
      </c>
    </row>
    <row r="28" spans="1:34" x14ac:dyDescent="0.2">
      <c r="I28" t="s">
        <v>32</v>
      </c>
      <c r="R28" t="s">
        <v>8</v>
      </c>
      <c r="S28">
        <f t="shared" si="2"/>
        <v>11</v>
      </c>
      <c r="T28">
        <f>AA17</f>
        <v>11</v>
      </c>
      <c r="U28">
        <f t="shared" si="3"/>
        <v>0</v>
      </c>
      <c r="W28">
        <v>10</v>
      </c>
      <c r="X28">
        <v>11</v>
      </c>
      <c r="Y28" t="b">
        <f t="shared" si="4"/>
        <v>1</v>
      </c>
      <c r="Z28" t="b">
        <f t="shared" si="5"/>
        <v>1</v>
      </c>
      <c r="AA28" t="b">
        <f t="shared" si="6"/>
        <v>1</v>
      </c>
    </row>
    <row r="29" spans="1:34" x14ac:dyDescent="0.2">
      <c r="A29" t="s">
        <v>23</v>
      </c>
      <c r="I29" t="s">
        <v>14</v>
      </c>
      <c r="R29" t="s">
        <v>9</v>
      </c>
      <c r="S29">
        <f t="shared" si="2"/>
        <v>13</v>
      </c>
      <c r="T29">
        <f>AB17</f>
        <v>13</v>
      </c>
      <c r="U29">
        <f t="shared" si="3"/>
        <v>0</v>
      </c>
      <c r="W29">
        <v>13</v>
      </c>
      <c r="X29">
        <v>14</v>
      </c>
      <c r="Y29" t="b">
        <f t="shared" si="4"/>
        <v>1</v>
      </c>
      <c r="Z29" t="b">
        <f t="shared" si="5"/>
        <v>1</v>
      </c>
      <c r="AA29" t="b">
        <f t="shared" si="6"/>
        <v>1</v>
      </c>
    </row>
    <row r="30" spans="1:34" x14ac:dyDescent="0.2">
      <c r="A30" t="s">
        <v>24</v>
      </c>
      <c r="R30" t="s">
        <v>10</v>
      </c>
      <c r="S30">
        <f t="shared" si="2"/>
        <v>12</v>
      </c>
      <c r="T30">
        <f>AC17</f>
        <v>12</v>
      </c>
      <c r="U30">
        <f t="shared" si="3"/>
        <v>0</v>
      </c>
      <c r="W30">
        <v>11</v>
      </c>
      <c r="X30">
        <v>12</v>
      </c>
      <c r="Y30" t="b">
        <f t="shared" si="4"/>
        <v>1</v>
      </c>
      <c r="Z30" t="b">
        <f t="shared" si="5"/>
        <v>1</v>
      </c>
      <c r="AA30" t="b">
        <f t="shared" si="6"/>
        <v>1</v>
      </c>
    </row>
    <row r="31" spans="1:34" x14ac:dyDescent="0.2">
      <c r="A31" t="s">
        <v>25</v>
      </c>
      <c r="R31" t="s">
        <v>11</v>
      </c>
      <c r="S31">
        <f t="shared" si="2"/>
        <v>12</v>
      </c>
      <c r="T31">
        <f>AD17</f>
        <v>13</v>
      </c>
      <c r="U31">
        <f t="shared" si="3"/>
        <v>-1</v>
      </c>
      <c r="V31" t="s">
        <v>94</v>
      </c>
      <c r="W31">
        <v>12</v>
      </c>
      <c r="X31">
        <v>12</v>
      </c>
      <c r="Y31" t="b">
        <f t="shared" si="4"/>
        <v>1</v>
      </c>
      <c r="Z31" t="b">
        <f>U31=-1</f>
        <v>1</v>
      </c>
      <c r="AA31" t="b">
        <f t="shared" si="6"/>
        <v>1</v>
      </c>
    </row>
    <row r="32" spans="1:34" x14ac:dyDescent="0.2">
      <c r="A32" t="s">
        <v>26</v>
      </c>
      <c r="R32" t="s">
        <v>12</v>
      </c>
      <c r="S32">
        <f t="shared" si="2"/>
        <v>14</v>
      </c>
      <c r="T32">
        <f>AE17</f>
        <v>14</v>
      </c>
      <c r="U32">
        <f t="shared" si="3"/>
        <v>0</v>
      </c>
      <c r="W32">
        <v>14</v>
      </c>
      <c r="X32">
        <v>14</v>
      </c>
      <c r="Y32" t="b">
        <f t="shared" si="4"/>
        <v>1</v>
      </c>
      <c r="Z32" t="b">
        <f t="shared" si="5"/>
        <v>1</v>
      </c>
      <c r="AA32" t="b">
        <f t="shared" si="6"/>
        <v>1</v>
      </c>
    </row>
    <row r="33" spans="1:27" x14ac:dyDescent="0.2">
      <c r="R33" t="s">
        <v>13</v>
      </c>
      <c r="S33">
        <f t="shared" si="2"/>
        <v>12</v>
      </c>
      <c r="T33">
        <f>AF17</f>
        <v>11</v>
      </c>
      <c r="U33">
        <f t="shared" si="3"/>
        <v>1</v>
      </c>
      <c r="V33" t="s">
        <v>95</v>
      </c>
      <c r="W33">
        <v>12</v>
      </c>
      <c r="X33">
        <v>12</v>
      </c>
      <c r="Y33" t="b">
        <f t="shared" si="4"/>
        <v>1</v>
      </c>
      <c r="Z33" t="b">
        <f>U33=1</f>
        <v>1</v>
      </c>
      <c r="AA33" t="b">
        <f t="shared" si="6"/>
        <v>1</v>
      </c>
    </row>
    <row r="34" spans="1:27" x14ac:dyDescent="0.2">
      <c r="R34" t="s">
        <v>14</v>
      </c>
      <c r="S34">
        <f t="shared" si="2"/>
        <v>15</v>
      </c>
      <c r="T34">
        <f>AG17</f>
        <v>15</v>
      </c>
      <c r="U34">
        <f t="shared" si="3"/>
        <v>0</v>
      </c>
      <c r="W34">
        <v>15</v>
      </c>
      <c r="X34">
        <v>15</v>
      </c>
      <c r="Y34" t="b">
        <f t="shared" si="4"/>
        <v>1</v>
      </c>
      <c r="Z34" t="b">
        <f t="shared" si="5"/>
        <v>1</v>
      </c>
      <c r="AA34" t="b">
        <f t="shared" si="6"/>
        <v>1</v>
      </c>
    </row>
    <row r="47" spans="1:27" ht="38.25" x14ac:dyDescent="0.2">
      <c r="A47" s="10" t="s">
        <v>37</v>
      </c>
      <c r="B47" s="10" t="s">
        <v>38</v>
      </c>
      <c r="C47" s="10" t="s">
        <v>39</v>
      </c>
      <c r="D47" s="10" t="s">
        <v>40</v>
      </c>
      <c r="E47" s="10" t="s">
        <v>41</v>
      </c>
      <c r="F47" s="10" t="s">
        <v>42</v>
      </c>
    </row>
    <row r="48" spans="1:27" ht="102" x14ac:dyDescent="0.2">
      <c r="A48" s="12" t="s">
        <v>0</v>
      </c>
      <c r="B48" s="11" t="s">
        <v>43</v>
      </c>
      <c r="C48" s="11" t="s">
        <v>44</v>
      </c>
      <c r="D48" s="11" t="s">
        <v>45</v>
      </c>
      <c r="E48" s="11" t="s">
        <v>46</v>
      </c>
      <c r="F48" s="11" t="s">
        <v>47</v>
      </c>
    </row>
    <row r="49" spans="1:6" ht="89.25" x14ac:dyDescent="0.2">
      <c r="A49" s="12" t="s">
        <v>1</v>
      </c>
      <c r="B49" s="11" t="s">
        <v>48</v>
      </c>
      <c r="C49" s="11" t="s">
        <v>49</v>
      </c>
      <c r="D49" s="11" t="s">
        <v>50</v>
      </c>
      <c r="E49" s="11" t="s">
        <v>50</v>
      </c>
      <c r="F49" s="11" t="s">
        <v>51</v>
      </c>
    </row>
    <row r="50" spans="1:6" ht="89.25" x14ac:dyDescent="0.2">
      <c r="A50" s="12" t="s">
        <v>6</v>
      </c>
      <c r="B50" s="11" t="s">
        <v>52</v>
      </c>
      <c r="C50" s="11" t="s">
        <v>53</v>
      </c>
      <c r="D50" s="11" t="s">
        <v>54</v>
      </c>
      <c r="E50" s="11" t="s">
        <v>55</v>
      </c>
      <c r="F50" s="11" t="s">
        <v>56</v>
      </c>
    </row>
    <row r="51" spans="1:6" ht="38.25" x14ac:dyDescent="0.2">
      <c r="A51" s="12" t="s">
        <v>5</v>
      </c>
      <c r="B51" s="11" t="s">
        <v>43</v>
      </c>
      <c r="C51" s="11" t="s">
        <v>57</v>
      </c>
      <c r="D51" s="11" t="s">
        <v>45</v>
      </c>
      <c r="E51" s="11" t="s">
        <v>58</v>
      </c>
      <c r="F51" s="11" t="s">
        <v>59</v>
      </c>
    </row>
    <row r="52" spans="1:6" ht="63.75" x14ac:dyDescent="0.2">
      <c r="A52" s="12" t="s">
        <v>2</v>
      </c>
      <c r="B52" s="11" t="s">
        <v>60</v>
      </c>
      <c r="C52" s="11" t="s">
        <v>61</v>
      </c>
      <c r="D52" s="11" t="s">
        <v>62</v>
      </c>
      <c r="E52" s="11" t="s">
        <v>63</v>
      </c>
      <c r="F52" s="11" t="s">
        <v>64</v>
      </c>
    </row>
    <row r="53" spans="1:6" ht="102" x14ac:dyDescent="0.2">
      <c r="A53" s="12" t="s">
        <v>3</v>
      </c>
      <c r="B53" s="11" t="s">
        <v>52</v>
      </c>
      <c r="C53" s="11" t="s">
        <v>65</v>
      </c>
      <c r="D53" s="11" t="s">
        <v>54</v>
      </c>
      <c r="E53" s="11" t="s">
        <v>66</v>
      </c>
      <c r="F53" s="11" t="s">
        <v>67</v>
      </c>
    </row>
    <row r="54" spans="1:6" ht="63.75" x14ac:dyDescent="0.2">
      <c r="A54" s="12" t="s">
        <v>4</v>
      </c>
      <c r="B54" s="11" t="s">
        <v>68</v>
      </c>
      <c r="C54" s="11" t="s">
        <v>69</v>
      </c>
      <c r="D54" s="11" t="s">
        <v>50</v>
      </c>
      <c r="E54" s="11" t="s">
        <v>70</v>
      </c>
      <c r="F54" s="11" t="s">
        <v>71</v>
      </c>
    </row>
    <row r="55" spans="1:6" ht="63.75" x14ac:dyDescent="0.2">
      <c r="A55" s="12" t="s">
        <v>7</v>
      </c>
      <c r="B55" s="11" t="s">
        <v>72</v>
      </c>
      <c r="C55" s="11" t="s">
        <v>73</v>
      </c>
      <c r="D55" s="11" t="s">
        <v>50</v>
      </c>
      <c r="E55" s="11" t="s">
        <v>50</v>
      </c>
      <c r="F55" s="11" t="s">
        <v>74</v>
      </c>
    </row>
    <row r="56" spans="1:6" ht="76.5" x14ac:dyDescent="0.2">
      <c r="A56" s="12" t="s">
        <v>8</v>
      </c>
      <c r="B56" s="11" t="s">
        <v>53</v>
      </c>
      <c r="C56" s="11" t="s">
        <v>75</v>
      </c>
      <c r="D56" s="11" t="s">
        <v>54</v>
      </c>
      <c r="E56" s="11" t="s">
        <v>76</v>
      </c>
      <c r="F56" s="11" t="s">
        <v>77</v>
      </c>
    </row>
    <row r="57" spans="1:6" ht="89.25" x14ac:dyDescent="0.2">
      <c r="A57" s="12" t="s">
        <v>9</v>
      </c>
      <c r="B57" s="11" t="s">
        <v>53</v>
      </c>
      <c r="C57" s="11" t="s">
        <v>78</v>
      </c>
      <c r="D57" s="11" t="s">
        <v>54</v>
      </c>
      <c r="E57" s="11" t="s">
        <v>50</v>
      </c>
      <c r="F57" s="11" t="s">
        <v>79</v>
      </c>
    </row>
    <row r="58" spans="1:6" ht="51" x14ac:dyDescent="0.2">
      <c r="A58" s="12" t="s">
        <v>10</v>
      </c>
      <c r="B58" s="11" t="s">
        <v>60</v>
      </c>
      <c r="C58" s="11" t="s">
        <v>80</v>
      </c>
      <c r="D58" s="11" t="s">
        <v>50</v>
      </c>
      <c r="E58" s="11" t="s">
        <v>66</v>
      </c>
      <c r="F58" s="11" t="s">
        <v>81</v>
      </c>
    </row>
    <row r="59" spans="1:6" ht="63.75" x14ac:dyDescent="0.2">
      <c r="A59" s="12" t="s">
        <v>11</v>
      </c>
      <c r="B59" s="11" t="s">
        <v>82</v>
      </c>
      <c r="C59" s="11" t="s">
        <v>83</v>
      </c>
      <c r="D59" s="11" t="s">
        <v>50</v>
      </c>
      <c r="E59" s="11" t="s">
        <v>50</v>
      </c>
      <c r="F59" s="11" t="s">
        <v>84</v>
      </c>
    </row>
    <row r="60" spans="1:6" ht="38.25" x14ac:dyDescent="0.2">
      <c r="A60" s="12" t="s">
        <v>12</v>
      </c>
      <c r="B60" s="11" t="s">
        <v>43</v>
      </c>
      <c r="C60" s="11" t="s">
        <v>85</v>
      </c>
      <c r="D60" s="11" t="s">
        <v>66</v>
      </c>
      <c r="E60" s="11" t="s">
        <v>86</v>
      </c>
      <c r="F60" s="11" t="s">
        <v>87</v>
      </c>
    </row>
    <row r="61" spans="1:6" ht="63.75" x14ac:dyDescent="0.2">
      <c r="A61" s="12" t="s">
        <v>13</v>
      </c>
      <c r="B61" s="11" t="s">
        <v>82</v>
      </c>
      <c r="C61" s="11" t="s">
        <v>88</v>
      </c>
      <c r="D61" s="11" t="s">
        <v>50</v>
      </c>
      <c r="E61" s="11" t="s">
        <v>50</v>
      </c>
      <c r="F61" s="11" t="s">
        <v>89</v>
      </c>
    </row>
    <row r="62" spans="1:6" ht="51" x14ac:dyDescent="0.2">
      <c r="A62" s="12" t="s">
        <v>14</v>
      </c>
      <c r="B62" s="11" t="s">
        <v>48</v>
      </c>
      <c r="C62" s="11" t="s">
        <v>90</v>
      </c>
      <c r="D62" s="11" t="s">
        <v>50</v>
      </c>
      <c r="E62" s="11" t="s">
        <v>50</v>
      </c>
      <c r="F62" s="11" t="s">
        <v>91</v>
      </c>
    </row>
  </sheetData>
  <dataValidations count="1">
    <dataValidation type="list" allowBlank="1" showInputMessage="1" showErrorMessage="1" sqref="B2:P16" xr:uid="{1FB030EC-956D-4847-B4BD-B16322A996B3}">
      <formula1>"0,0.5,1,2"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93543-3E90-4EA7-9BFC-81B2043EDF58}">
  <dimension ref="A1:P18"/>
  <sheetViews>
    <sheetView showGridLines="0" workbookViewId="0">
      <selection activeCell="B5" sqref="B5"/>
    </sheetView>
  </sheetViews>
  <sheetFormatPr defaultRowHeight="12.75" x14ac:dyDescent="0.2"/>
  <cols>
    <col min="1" max="1" width="9.140625" style="16"/>
    <col min="2" max="16" width="7.28515625" style="16" customWidth="1"/>
    <col min="17" max="16384" width="9.140625" style="16"/>
  </cols>
  <sheetData>
    <row r="1" spans="1:16" ht="37.5" customHeight="1" x14ac:dyDescent="0.2">
      <c r="B1" s="18" t="s">
        <v>36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ht="37.5" customHeight="1" x14ac:dyDescent="0.2">
      <c r="B2" s="23" t="s">
        <v>0</v>
      </c>
      <c r="C2" s="23" t="s">
        <v>1</v>
      </c>
      <c r="D2" s="23" t="s">
        <v>2</v>
      </c>
      <c r="E2" s="23" t="s">
        <v>3</v>
      </c>
      <c r="F2" s="23" t="s">
        <v>4</v>
      </c>
      <c r="G2" s="23" t="s">
        <v>96</v>
      </c>
      <c r="H2" s="23" t="s">
        <v>6</v>
      </c>
      <c r="I2" s="23" t="s">
        <v>7</v>
      </c>
      <c r="J2" s="23" t="s">
        <v>8</v>
      </c>
      <c r="K2" s="23" t="s">
        <v>9</v>
      </c>
      <c r="L2" s="23" t="s">
        <v>10</v>
      </c>
      <c r="M2" s="23" t="s">
        <v>11</v>
      </c>
      <c r="N2" s="23" t="s">
        <v>12</v>
      </c>
      <c r="O2" s="23" t="s">
        <v>13</v>
      </c>
      <c r="P2" s="23" t="s">
        <v>14</v>
      </c>
    </row>
    <row r="3" spans="1:16" ht="37.5" customHeight="1" x14ac:dyDescent="0.2">
      <c r="A3" s="17" t="s">
        <v>0</v>
      </c>
      <c r="B3" s="19">
        <f>Input!B2</f>
        <v>0.5</v>
      </c>
      <c r="C3" s="19">
        <f>Input!C2</f>
        <v>0.5</v>
      </c>
      <c r="D3" s="19">
        <f>Input!D2</f>
        <v>2</v>
      </c>
      <c r="E3" s="19">
        <f>Input!E2</f>
        <v>2</v>
      </c>
      <c r="F3" s="19">
        <f>Input!F2</f>
        <v>0.5</v>
      </c>
      <c r="G3" s="19">
        <f>Input!G2</f>
        <v>1</v>
      </c>
      <c r="H3" s="19">
        <f>Input!H2</f>
        <v>2</v>
      </c>
      <c r="I3" s="19">
        <f>Input!I2</f>
        <v>1</v>
      </c>
      <c r="J3" s="19">
        <f>Input!J2</f>
        <v>0.5</v>
      </c>
      <c r="K3" s="19">
        <f>Input!K2</f>
        <v>1</v>
      </c>
      <c r="L3" s="19">
        <f>Input!L2</f>
        <v>2</v>
      </c>
      <c r="M3" s="19">
        <f>Input!M2</f>
        <v>1</v>
      </c>
      <c r="N3" s="19">
        <f>Input!N2</f>
        <v>2</v>
      </c>
      <c r="O3" s="19">
        <f>Input!O2</f>
        <v>1</v>
      </c>
      <c r="P3" s="19">
        <f>Input!P2</f>
        <v>1</v>
      </c>
    </row>
    <row r="4" spans="1:16" ht="37.5" customHeight="1" x14ac:dyDescent="0.2">
      <c r="A4" s="17" t="s">
        <v>1</v>
      </c>
      <c r="B4" s="19">
        <f>Input!B3</f>
        <v>2</v>
      </c>
      <c r="C4" s="19">
        <f>Input!C3</f>
        <v>0.5</v>
      </c>
      <c r="D4" s="19">
        <f>Input!D3</f>
        <v>0.5</v>
      </c>
      <c r="E4" s="19">
        <f>Input!E3</f>
        <v>2</v>
      </c>
      <c r="F4" s="19">
        <f>Input!F3</f>
        <v>1</v>
      </c>
      <c r="G4" s="19">
        <f>Input!G3</f>
        <v>1</v>
      </c>
      <c r="H4" s="19">
        <f>Input!H3</f>
        <v>0.5</v>
      </c>
      <c r="I4" s="19">
        <f>Input!I3</f>
        <v>1</v>
      </c>
      <c r="J4" s="19">
        <f>Input!J3</f>
        <v>0.5</v>
      </c>
      <c r="K4" s="19">
        <f>Input!K3</f>
        <v>1</v>
      </c>
      <c r="L4" s="19">
        <f>Input!L3</f>
        <v>1</v>
      </c>
      <c r="M4" s="19">
        <f>Input!M3</f>
        <v>1</v>
      </c>
      <c r="N4" s="19">
        <f>Input!N3</f>
        <v>2</v>
      </c>
      <c r="O4" s="19">
        <f>Input!O3</f>
        <v>0.5</v>
      </c>
      <c r="P4" s="19">
        <f>Input!P3</f>
        <v>1</v>
      </c>
    </row>
    <row r="5" spans="1:16" ht="37.5" customHeight="1" x14ac:dyDescent="0.2">
      <c r="A5" s="17" t="s">
        <v>2</v>
      </c>
      <c r="B5" s="19">
        <f>Input!B4</f>
        <v>0.5</v>
      </c>
      <c r="C5" s="19">
        <f>Input!C4</f>
        <v>2</v>
      </c>
      <c r="D5" s="19">
        <f>Input!D4</f>
        <v>0.5</v>
      </c>
      <c r="E5" s="19">
        <f>Input!E4</f>
        <v>2</v>
      </c>
      <c r="F5" s="19">
        <f>Input!F4</f>
        <v>0.5</v>
      </c>
      <c r="G5" s="19">
        <f>Input!G4</f>
        <v>1</v>
      </c>
      <c r="H5" s="19">
        <f>Input!H4</f>
        <v>0.5</v>
      </c>
      <c r="I5" s="19">
        <f>Input!I4</f>
        <v>1</v>
      </c>
      <c r="J5" s="19">
        <f>Input!J4</f>
        <v>1</v>
      </c>
      <c r="K5" s="19">
        <f>Input!K4</f>
        <v>1</v>
      </c>
      <c r="L5" s="19">
        <f>Input!L4</f>
        <v>0.5</v>
      </c>
      <c r="M5" s="19">
        <f>Input!M4</f>
        <v>1</v>
      </c>
      <c r="N5" s="19">
        <f>Input!N4</f>
        <v>2</v>
      </c>
      <c r="O5" s="19">
        <f>Input!O4</f>
        <v>1</v>
      </c>
      <c r="P5" s="19">
        <f>Input!P4</f>
        <v>1</v>
      </c>
    </row>
    <row r="6" spans="1:16" ht="37.5" customHeight="1" x14ac:dyDescent="0.2">
      <c r="A6" s="17" t="s">
        <v>3</v>
      </c>
      <c r="B6" s="19">
        <f>Input!B5</f>
        <v>2</v>
      </c>
      <c r="C6" s="19">
        <f>Input!C5</f>
        <v>1</v>
      </c>
      <c r="D6" s="19">
        <f>Input!D5</f>
        <v>0.5</v>
      </c>
      <c r="E6" s="19">
        <f>Input!E5</f>
        <v>0.5</v>
      </c>
      <c r="F6" s="19">
        <f>Input!F5</f>
        <v>0</v>
      </c>
      <c r="G6" s="19">
        <f>Input!G5</f>
        <v>2</v>
      </c>
      <c r="H6" s="19">
        <f>Input!H5</f>
        <v>0.5</v>
      </c>
      <c r="I6" s="19">
        <f>Input!I5</f>
        <v>0.5</v>
      </c>
      <c r="J6" s="19">
        <f>Input!J5</f>
        <v>0.5</v>
      </c>
      <c r="K6" s="19">
        <f>Input!K5</f>
        <v>1</v>
      </c>
      <c r="L6" s="19">
        <f>Input!L5</f>
        <v>1</v>
      </c>
      <c r="M6" s="19">
        <f>Input!M5</f>
        <v>1</v>
      </c>
      <c r="N6" s="19">
        <f>Input!N5</f>
        <v>1</v>
      </c>
      <c r="O6" s="19">
        <f>Input!O5</f>
        <v>1</v>
      </c>
      <c r="P6" s="19">
        <f>Input!P5</f>
        <v>1</v>
      </c>
    </row>
    <row r="7" spans="1:16" ht="37.5" customHeight="1" x14ac:dyDescent="0.2">
      <c r="A7" s="17" t="s">
        <v>4</v>
      </c>
      <c r="B7" s="19">
        <f>Input!B6</f>
        <v>2</v>
      </c>
      <c r="C7" s="19">
        <f>Input!C6</f>
        <v>1</v>
      </c>
      <c r="D7" s="19">
        <f>Input!D6</f>
        <v>1</v>
      </c>
      <c r="E7" s="19">
        <f>Input!E6</f>
        <v>0</v>
      </c>
      <c r="F7" s="19">
        <f>Input!F6</f>
        <v>0.5</v>
      </c>
      <c r="G7" s="19">
        <f>Input!G6</f>
        <v>1</v>
      </c>
      <c r="H7" s="19">
        <f>Input!H6</f>
        <v>2</v>
      </c>
      <c r="I7" s="19">
        <f>Input!I6</f>
        <v>1</v>
      </c>
      <c r="J7" s="19">
        <f>Input!J6</f>
        <v>2</v>
      </c>
      <c r="K7" s="19">
        <f>Input!K6</f>
        <v>1</v>
      </c>
      <c r="L7" s="19">
        <f>Input!L6</f>
        <v>2</v>
      </c>
      <c r="M7" s="19">
        <f>Input!M6</f>
        <v>1</v>
      </c>
      <c r="N7" s="19">
        <f>Input!N6</f>
        <v>0.5</v>
      </c>
      <c r="O7" s="19">
        <f>Input!O6</f>
        <v>1</v>
      </c>
      <c r="P7" s="19">
        <f>Input!P6</f>
        <v>1</v>
      </c>
    </row>
    <row r="8" spans="1:16" ht="37.5" customHeight="1" x14ac:dyDescent="0.2">
      <c r="A8" s="17" t="s">
        <v>96</v>
      </c>
      <c r="B8" s="19">
        <f>Input!B7</f>
        <v>1</v>
      </c>
      <c r="C8" s="19">
        <f>Input!C7</f>
        <v>2</v>
      </c>
      <c r="D8" s="19">
        <f>Input!D7</f>
        <v>1</v>
      </c>
      <c r="E8" s="19">
        <f>Input!E7</f>
        <v>0</v>
      </c>
      <c r="F8" s="19">
        <f>Input!F7</f>
        <v>2</v>
      </c>
      <c r="G8" s="19">
        <f>Input!G7</f>
        <v>0.5</v>
      </c>
      <c r="H8" s="19">
        <f>Input!H7</f>
        <v>0.5</v>
      </c>
      <c r="I8" s="19">
        <f>Input!I7</f>
        <v>0.5</v>
      </c>
      <c r="J8" s="19">
        <f>Input!J7</f>
        <v>2</v>
      </c>
      <c r="K8" s="19">
        <f>Input!K7</f>
        <v>1</v>
      </c>
      <c r="L8" s="19">
        <f>Input!L7</f>
        <v>2</v>
      </c>
      <c r="M8" s="19">
        <f>Input!M7</f>
        <v>1</v>
      </c>
      <c r="N8" s="19">
        <f>Input!N7</f>
        <v>2</v>
      </c>
      <c r="O8" s="19">
        <f>Input!O7</f>
        <v>0.5</v>
      </c>
      <c r="P8" s="19">
        <f>Input!P7</f>
        <v>1</v>
      </c>
    </row>
    <row r="9" spans="1:16" ht="37.5" customHeight="1" x14ac:dyDescent="0.2">
      <c r="A9" s="17" t="s">
        <v>6</v>
      </c>
      <c r="B9" s="19">
        <f>Input!B8</f>
        <v>0.5</v>
      </c>
      <c r="C9" s="19">
        <f>Input!C8</f>
        <v>0.5</v>
      </c>
      <c r="D9" s="19">
        <f>Input!D8</f>
        <v>2</v>
      </c>
      <c r="E9" s="19">
        <f>Input!E8</f>
        <v>0.5</v>
      </c>
      <c r="F9" s="19">
        <f>Input!F8</f>
        <v>2</v>
      </c>
      <c r="G9" s="19">
        <f>Input!G8</f>
        <v>0.5</v>
      </c>
      <c r="H9" s="19">
        <f>Input!H8</f>
        <v>0.5</v>
      </c>
      <c r="I9" s="19">
        <f>Input!I8</f>
        <v>1</v>
      </c>
      <c r="J9" s="19">
        <f>Input!J8</f>
        <v>1</v>
      </c>
      <c r="K9" s="19">
        <f>Input!K8</f>
        <v>1</v>
      </c>
      <c r="L9" s="19">
        <f>Input!L8</f>
        <v>0.5</v>
      </c>
      <c r="M9" s="19">
        <f>Input!M8</f>
        <v>0.5</v>
      </c>
      <c r="N9" s="19">
        <f>Input!N8</f>
        <v>2</v>
      </c>
      <c r="O9" s="19">
        <f>Input!O8</f>
        <v>0.5</v>
      </c>
      <c r="P9" s="19">
        <f>Input!P8</f>
        <v>1</v>
      </c>
    </row>
    <row r="10" spans="1:16" ht="37.5" customHeight="1" x14ac:dyDescent="0.2">
      <c r="A10" s="17" t="s">
        <v>7</v>
      </c>
      <c r="B10" s="19">
        <f>Input!B9</f>
        <v>2</v>
      </c>
      <c r="C10" s="19">
        <f>Input!C9</f>
        <v>1</v>
      </c>
      <c r="D10" s="19">
        <f>Input!D9</f>
        <v>1</v>
      </c>
      <c r="E10" s="19">
        <f>Input!E9</f>
        <v>0.5</v>
      </c>
      <c r="F10" s="19">
        <f>Input!F9</f>
        <v>2</v>
      </c>
      <c r="G10" s="19">
        <f>Input!G9</f>
        <v>2</v>
      </c>
      <c r="H10" s="19">
        <f>Input!H9</f>
        <v>1</v>
      </c>
      <c r="I10" s="19">
        <f>Input!I9</f>
        <v>1</v>
      </c>
      <c r="J10" s="19">
        <f>Input!J9</f>
        <v>0</v>
      </c>
      <c r="K10" s="19">
        <f>Input!K9</f>
        <v>0.5</v>
      </c>
      <c r="L10" s="19">
        <f>Input!L9</f>
        <v>2</v>
      </c>
      <c r="M10" s="19">
        <f>Input!M9</f>
        <v>1</v>
      </c>
      <c r="N10" s="19">
        <f>Input!N9</f>
        <v>0.5</v>
      </c>
      <c r="O10" s="19">
        <f>Input!O9</f>
        <v>1</v>
      </c>
      <c r="P10" s="19">
        <f>Input!P9</f>
        <v>1</v>
      </c>
    </row>
    <row r="11" spans="1:16" ht="37.5" customHeight="1" x14ac:dyDescent="0.2">
      <c r="A11" s="17" t="s">
        <v>8</v>
      </c>
      <c r="B11" s="19">
        <f>Input!B10</f>
        <v>1</v>
      </c>
      <c r="C11" s="19">
        <f>Input!C10</f>
        <v>1</v>
      </c>
      <c r="D11" s="19">
        <f>Input!D10</f>
        <v>0.5</v>
      </c>
      <c r="E11" s="19">
        <f>Input!E10</f>
        <v>0.5</v>
      </c>
      <c r="F11" s="19">
        <f>Input!F10</f>
        <v>1</v>
      </c>
      <c r="G11" s="19">
        <f>Input!G10</f>
        <v>0.5</v>
      </c>
      <c r="H11" s="19">
        <f>Input!H10</f>
        <v>1</v>
      </c>
      <c r="I11" s="19">
        <f>Input!I10</f>
        <v>2</v>
      </c>
      <c r="J11" s="19">
        <f>Input!J10</f>
        <v>1</v>
      </c>
      <c r="K11" s="19">
        <f>Input!K10</f>
        <v>0</v>
      </c>
      <c r="L11" s="19">
        <f>Input!L10</f>
        <v>0.5</v>
      </c>
      <c r="M11" s="19">
        <f>Input!M10</f>
        <v>1</v>
      </c>
      <c r="N11" s="19">
        <f>Input!N10</f>
        <v>1</v>
      </c>
      <c r="O11" s="19">
        <f>Input!O10</f>
        <v>2</v>
      </c>
      <c r="P11" s="19">
        <f>Input!P10</f>
        <v>1</v>
      </c>
    </row>
    <row r="12" spans="1:16" ht="37.5" customHeight="1" x14ac:dyDescent="0.2">
      <c r="A12" s="17" t="s">
        <v>9</v>
      </c>
      <c r="B12" s="19">
        <f>Input!B11</f>
        <v>0.5</v>
      </c>
      <c r="C12" s="19">
        <f>Input!C11</f>
        <v>1</v>
      </c>
      <c r="D12" s="19">
        <f>Input!D11</f>
        <v>1</v>
      </c>
      <c r="E12" s="19">
        <f>Input!E11</f>
        <v>0.5</v>
      </c>
      <c r="F12" s="19">
        <f>Input!F11</f>
        <v>1</v>
      </c>
      <c r="G12" s="19">
        <f>Input!G11</f>
        <v>2</v>
      </c>
      <c r="H12" s="19">
        <f>Input!H11</f>
        <v>1</v>
      </c>
      <c r="I12" s="19">
        <f>Input!I11</f>
        <v>0.5</v>
      </c>
      <c r="J12" s="19">
        <f>Input!J11</f>
        <v>2</v>
      </c>
      <c r="K12" s="19">
        <f>Input!K11</f>
        <v>1</v>
      </c>
      <c r="L12" s="19">
        <f>Input!L11</f>
        <v>0</v>
      </c>
      <c r="M12" s="19">
        <f>Input!M11</f>
        <v>1</v>
      </c>
      <c r="N12" s="19">
        <f>Input!N11</f>
        <v>2</v>
      </c>
      <c r="O12" s="19">
        <f>Input!O11</f>
        <v>1</v>
      </c>
      <c r="P12" s="19">
        <f>Input!P11</f>
        <v>1</v>
      </c>
    </row>
    <row r="13" spans="1:16" ht="37.5" customHeight="1" x14ac:dyDescent="0.2">
      <c r="A13" s="17" t="s">
        <v>10</v>
      </c>
      <c r="B13" s="19">
        <f>Input!B12</f>
        <v>2</v>
      </c>
      <c r="C13" s="19">
        <f>Input!C12</f>
        <v>1</v>
      </c>
      <c r="D13" s="19">
        <f>Input!D12</f>
        <v>1</v>
      </c>
      <c r="E13" s="19">
        <f>Input!E12</f>
        <v>1</v>
      </c>
      <c r="F13" s="19">
        <f>Input!F12</f>
        <v>2</v>
      </c>
      <c r="G13" s="19">
        <f>Input!G12</f>
        <v>0.5</v>
      </c>
      <c r="H13" s="19">
        <f>Input!H12</f>
        <v>0.5</v>
      </c>
      <c r="I13" s="19">
        <f>Input!I12</f>
        <v>0</v>
      </c>
      <c r="J13" s="19">
        <f>Input!J12</f>
        <v>0.5</v>
      </c>
      <c r="K13" s="19">
        <f>Input!K12</f>
        <v>2</v>
      </c>
      <c r="L13" s="19">
        <f>Input!L12</f>
        <v>1</v>
      </c>
      <c r="M13" s="19">
        <f>Input!M12</f>
        <v>1</v>
      </c>
      <c r="N13" s="19">
        <f>Input!N12</f>
        <v>1</v>
      </c>
      <c r="O13" s="19">
        <f>Input!O12</f>
        <v>0.5</v>
      </c>
      <c r="P13" s="19">
        <f>Input!P12</f>
        <v>1</v>
      </c>
    </row>
    <row r="14" spans="1:16" ht="37.5" customHeight="1" x14ac:dyDescent="0.2">
      <c r="A14" s="17" t="s">
        <v>11</v>
      </c>
      <c r="B14" s="19">
        <f>Input!B13</f>
        <v>1</v>
      </c>
      <c r="C14" s="19">
        <f>Input!C13</f>
        <v>1</v>
      </c>
      <c r="D14" s="19">
        <f>Input!D13</f>
        <v>1</v>
      </c>
      <c r="E14" s="19">
        <f>Input!E13</f>
        <v>1</v>
      </c>
      <c r="F14" s="19">
        <f>Input!F13</f>
        <v>2</v>
      </c>
      <c r="G14" s="19">
        <f>Input!G13</f>
        <v>1</v>
      </c>
      <c r="H14" s="19">
        <f>Input!H13</f>
        <v>1</v>
      </c>
      <c r="I14" s="19">
        <f>Input!I13</f>
        <v>2</v>
      </c>
      <c r="J14" s="19">
        <f>Input!J13</f>
        <v>1</v>
      </c>
      <c r="K14" s="19">
        <f>Input!K13</f>
        <v>1</v>
      </c>
      <c r="L14" s="19">
        <f>Input!L13</f>
        <v>0.5</v>
      </c>
      <c r="M14" s="19">
        <f>Input!M13</f>
        <v>0.5</v>
      </c>
      <c r="N14" s="19">
        <f>Input!N13</f>
        <v>0</v>
      </c>
      <c r="O14" s="19">
        <f>Input!O13</f>
        <v>0.5</v>
      </c>
      <c r="P14" s="19">
        <f>Input!P13</f>
        <v>1</v>
      </c>
    </row>
    <row r="15" spans="1:16" ht="37.5" customHeight="1" x14ac:dyDescent="0.2">
      <c r="A15" s="17" t="s">
        <v>12</v>
      </c>
      <c r="B15" s="19">
        <f>Input!B14</f>
        <v>1</v>
      </c>
      <c r="C15" s="19">
        <f>Input!C14</f>
        <v>0.5</v>
      </c>
      <c r="D15" s="19">
        <f>Input!D14</f>
        <v>1</v>
      </c>
      <c r="E15" s="19">
        <f>Input!E14</f>
        <v>1</v>
      </c>
      <c r="F15" s="19">
        <f>Input!F14</f>
        <v>1</v>
      </c>
      <c r="G15" s="19">
        <f>Input!G14</f>
        <v>1</v>
      </c>
      <c r="H15" s="19">
        <f>Input!H14</f>
        <v>1</v>
      </c>
      <c r="I15" s="19">
        <f>Input!I14</f>
        <v>2</v>
      </c>
      <c r="J15" s="19">
        <f>Input!J14</f>
        <v>1</v>
      </c>
      <c r="K15" s="19">
        <f>Input!K14</f>
        <v>0.5</v>
      </c>
      <c r="L15" s="19">
        <f>Input!L14</f>
        <v>0.5</v>
      </c>
      <c r="M15" s="19">
        <f>Input!M14</f>
        <v>2</v>
      </c>
      <c r="N15" s="19">
        <f>Input!N14</f>
        <v>0.5</v>
      </c>
      <c r="O15" s="19">
        <f>Input!O14</f>
        <v>2</v>
      </c>
      <c r="P15" s="19">
        <f>Input!P14</f>
        <v>1</v>
      </c>
    </row>
    <row r="16" spans="1:16" ht="37.5" customHeight="1" x14ac:dyDescent="0.2">
      <c r="A16" s="17" t="s">
        <v>13</v>
      </c>
      <c r="B16" s="19">
        <f>Input!B15</f>
        <v>1</v>
      </c>
      <c r="C16" s="19">
        <f>Input!C15</f>
        <v>1</v>
      </c>
      <c r="D16" s="19">
        <f>Input!D15</f>
        <v>1</v>
      </c>
      <c r="E16" s="19">
        <f>Input!E15</f>
        <v>1</v>
      </c>
      <c r="F16" s="19">
        <f>Input!F15</f>
        <v>2</v>
      </c>
      <c r="G16" s="19">
        <f>Input!G15</f>
        <v>1</v>
      </c>
      <c r="H16" s="19">
        <f>Input!H15</f>
        <v>0.5</v>
      </c>
      <c r="I16" s="19">
        <f>Input!I15</f>
        <v>2</v>
      </c>
      <c r="J16" s="19">
        <f>Input!J15</f>
        <v>0.5</v>
      </c>
      <c r="K16" s="19">
        <f>Input!K15</f>
        <v>2</v>
      </c>
      <c r="L16" s="19">
        <f>Input!L15</f>
        <v>1</v>
      </c>
      <c r="M16" s="19">
        <f>Input!M15</f>
        <v>0.5</v>
      </c>
      <c r="N16" s="19">
        <f>Input!N15</f>
        <v>0</v>
      </c>
      <c r="O16" s="19">
        <f>Input!O15</f>
        <v>0.5</v>
      </c>
      <c r="P16" s="19">
        <f>Input!P15</f>
        <v>1</v>
      </c>
    </row>
    <row r="17" spans="1:16" ht="37.5" customHeight="1" x14ac:dyDescent="0.2">
      <c r="A17" s="17" t="s">
        <v>14</v>
      </c>
      <c r="B17" s="19">
        <f>Input!B16</f>
        <v>1</v>
      </c>
      <c r="C17" s="19">
        <f>Input!C16</f>
        <v>1</v>
      </c>
      <c r="D17" s="19">
        <f>Input!D16</f>
        <v>1</v>
      </c>
      <c r="E17" s="19">
        <f>Input!E16</f>
        <v>1</v>
      </c>
      <c r="F17" s="19">
        <f>Input!F16</f>
        <v>1</v>
      </c>
      <c r="G17" s="19">
        <f>Input!G16</f>
        <v>1</v>
      </c>
      <c r="H17" s="19">
        <f>Input!H16</f>
        <v>1</v>
      </c>
      <c r="I17" s="19">
        <f>Input!I16</f>
        <v>1</v>
      </c>
      <c r="J17" s="19">
        <f>Input!J16</f>
        <v>1</v>
      </c>
      <c r="K17" s="19">
        <f>Input!K16</f>
        <v>1</v>
      </c>
      <c r="L17" s="19">
        <f>Input!L16</f>
        <v>1</v>
      </c>
      <c r="M17" s="19">
        <f>Input!M16</f>
        <v>1</v>
      </c>
      <c r="N17" s="19">
        <f>Input!N16</f>
        <v>1</v>
      </c>
      <c r="O17" s="19">
        <f>Input!O16</f>
        <v>1</v>
      </c>
      <c r="P17" s="19">
        <f>Input!P16</f>
        <v>1</v>
      </c>
    </row>
    <row r="18" spans="1:16" ht="37.5" customHeight="1" x14ac:dyDescent="0.2">
      <c r="B18" s="20" t="s">
        <v>0</v>
      </c>
      <c r="C18" s="20" t="s">
        <v>1</v>
      </c>
      <c r="D18" s="20" t="s">
        <v>2</v>
      </c>
      <c r="E18" s="20" t="s">
        <v>3</v>
      </c>
      <c r="F18" s="20" t="s">
        <v>4</v>
      </c>
      <c r="G18" s="20" t="s">
        <v>96</v>
      </c>
      <c r="H18" s="20" t="s">
        <v>6</v>
      </c>
      <c r="I18" s="20" t="s">
        <v>7</v>
      </c>
      <c r="J18" s="20" t="s">
        <v>8</v>
      </c>
      <c r="K18" s="20" t="s">
        <v>9</v>
      </c>
      <c r="L18" s="20" t="s">
        <v>10</v>
      </c>
      <c r="M18" s="20" t="s">
        <v>11</v>
      </c>
      <c r="N18" s="20" t="s">
        <v>12</v>
      </c>
      <c r="O18" s="20" t="s">
        <v>13</v>
      </c>
      <c r="P18" s="20" t="s">
        <v>14</v>
      </c>
    </row>
  </sheetData>
  <conditionalFormatting sqref="B3:P17">
    <cfRule type="expression" dxfId="3" priority="1">
      <formula>B3=1</formula>
    </cfRule>
    <cfRule type="expression" dxfId="2" priority="2">
      <formula>B3=0</formula>
    </cfRule>
    <cfRule type="expression" dxfId="1" priority="3">
      <formula>B3=0.5</formula>
    </cfRule>
    <cfRule type="expression" dxfId="0" priority="4">
      <formula>B3=2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44325-56F7-4AE1-83E5-77C1DC88275A}">
  <dimension ref="A1:AJ106"/>
  <sheetViews>
    <sheetView tabSelected="1" workbookViewId="0"/>
  </sheetViews>
  <sheetFormatPr defaultRowHeight="12.75" x14ac:dyDescent="0.2"/>
  <cols>
    <col min="1" max="16384" width="9.140625" style="21"/>
  </cols>
  <sheetData>
    <row r="1" spans="1:36" x14ac:dyDescent="0.2">
      <c r="A1" s="21" t="s">
        <v>97</v>
      </c>
      <c r="B1" s="21" t="s">
        <v>98</v>
      </c>
      <c r="C1" s="21" t="s">
        <v>0</v>
      </c>
      <c r="D1" s="21" t="s">
        <v>1</v>
      </c>
      <c r="E1" s="21" t="s">
        <v>2</v>
      </c>
      <c r="F1" s="21" t="s">
        <v>3</v>
      </c>
      <c r="G1" s="21" t="s">
        <v>4</v>
      </c>
      <c r="H1" s="21" t="s">
        <v>96</v>
      </c>
      <c r="I1" s="21" t="s">
        <v>6</v>
      </c>
      <c r="J1" s="21" t="s">
        <v>7</v>
      </c>
      <c r="K1" s="21" t="s">
        <v>8</v>
      </c>
      <c r="L1" s="21" t="s">
        <v>9</v>
      </c>
      <c r="M1" s="21" t="s">
        <v>10</v>
      </c>
      <c r="N1" s="21" t="s">
        <v>11</v>
      </c>
      <c r="O1" s="21" t="s">
        <v>12</v>
      </c>
      <c r="P1" s="21" t="s">
        <v>13</v>
      </c>
      <c r="Q1" s="21" t="s">
        <v>14</v>
      </c>
      <c r="T1" s="21" t="s">
        <v>97</v>
      </c>
      <c r="U1" s="21" t="s">
        <v>98</v>
      </c>
      <c r="V1" s="21" t="s">
        <v>0</v>
      </c>
      <c r="W1" s="21" t="s">
        <v>1</v>
      </c>
      <c r="X1" s="21" t="s">
        <v>2</v>
      </c>
      <c r="Y1" s="21" t="s">
        <v>3</v>
      </c>
      <c r="Z1" s="21" t="s">
        <v>4</v>
      </c>
      <c r="AA1" s="21" t="s">
        <v>96</v>
      </c>
      <c r="AB1" s="21" t="s">
        <v>6</v>
      </c>
      <c r="AC1" s="21" t="s">
        <v>7</v>
      </c>
      <c r="AD1" s="21" t="s">
        <v>8</v>
      </c>
      <c r="AE1" s="21" t="s">
        <v>9</v>
      </c>
      <c r="AF1" s="21" t="s">
        <v>10</v>
      </c>
      <c r="AG1" s="21" t="s">
        <v>11</v>
      </c>
      <c r="AH1" s="21" t="s">
        <v>12</v>
      </c>
      <c r="AI1" s="21" t="s">
        <v>13</v>
      </c>
      <c r="AJ1" s="21" t="s">
        <v>14</v>
      </c>
    </row>
    <row r="2" spans="1:36" x14ac:dyDescent="0.2">
      <c r="A2" s="21" t="s">
        <v>0</v>
      </c>
      <c r="B2" s="22" t="s">
        <v>1</v>
      </c>
      <c r="C2" s="24">
        <f>INDEX(Output!$B$3:$P$17,MATCH('Defensive Summary'!C$1,Output!$A$3:$A$17,0),MATCH('Defensive Summary'!$A2,Output!$B$2:$P$2,0))*INDEX(Output!$B$3:$P$17,MATCH('Defensive Summary'!C$1,Output!$A$3:$A$17,0),MATCH('Defensive Summary'!$B2,Output!$B$2:$P$2,0))</f>
        <v>0.25</v>
      </c>
      <c r="D2" s="24">
        <f>INDEX(Output!$B$3:$P$17,MATCH('Defensive Summary'!D$1,Output!$A$3:$A$17,0),MATCH('Defensive Summary'!$A2,Output!$B$2:$P$2,0))*INDEX(Output!$B$3:$P$17,MATCH('Defensive Summary'!D$1,Output!$A$3:$A$17,0),MATCH('Defensive Summary'!$B2,Output!$B$2:$P$2,0))</f>
        <v>1</v>
      </c>
      <c r="E2" s="24">
        <f>INDEX(Output!$B$3:$P$17,MATCH('Defensive Summary'!E$1,Output!$A$3:$A$17,0),MATCH('Defensive Summary'!$A2,Output!$B$2:$P$2,0))*INDEX(Output!$B$3:$P$17,MATCH('Defensive Summary'!E$1,Output!$A$3:$A$17,0),MATCH('Defensive Summary'!$B2,Output!$B$2:$P$2,0))</f>
        <v>1</v>
      </c>
      <c r="F2" s="24">
        <f>INDEX(Output!$B$3:$P$17,MATCH('Defensive Summary'!F$1,Output!$A$3:$A$17,0),MATCH('Defensive Summary'!$A2,Output!$B$2:$P$2,0))*INDEX(Output!$B$3:$P$17,MATCH('Defensive Summary'!F$1,Output!$A$3:$A$17,0),MATCH('Defensive Summary'!$B2,Output!$B$2:$P$2,0))</f>
        <v>2</v>
      </c>
      <c r="G2" s="24">
        <f>INDEX(Output!$B$3:$P$17,MATCH('Defensive Summary'!G$1,Output!$A$3:$A$17,0),MATCH('Defensive Summary'!$A2,Output!$B$2:$P$2,0))*INDEX(Output!$B$3:$P$17,MATCH('Defensive Summary'!G$1,Output!$A$3:$A$17,0),MATCH('Defensive Summary'!$B2,Output!$B$2:$P$2,0))</f>
        <v>2</v>
      </c>
      <c r="H2" s="24">
        <f>INDEX(Output!$B$3:$P$17,MATCH('Defensive Summary'!H$1,Output!$A$3:$A$17,0),MATCH('Defensive Summary'!$A2,Output!$B$2:$P$2,0))*INDEX(Output!$B$3:$P$17,MATCH('Defensive Summary'!H$1,Output!$A$3:$A$17,0),MATCH('Defensive Summary'!$B2,Output!$B$2:$P$2,0))</f>
        <v>2</v>
      </c>
      <c r="I2" s="24">
        <f>INDEX(Output!$B$3:$P$17,MATCH('Defensive Summary'!I$1,Output!$A$3:$A$17,0),MATCH('Defensive Summary'!$A2,Output!$B$2:$P$2,0))*INDEX(Output!$B$3:$P$17,MATCH('Defensive Summary'!I$1,Output!$A$3:$A$17,0),MATCH('Defensive Summary'!$B2,Output!$B$2:$P$2,0))</f>
        <v>0.25</v>
      </c>
      <c r="J2" s="24">
        <f>INDEX(Output!$B$3:$P$17,MATCH('Defensive Summary'!J$1,Output!$A$3:$A$17,0),MATCH('Defensive Summary'!$A2,Output!$B$2:$P$2,0))*INDEX(Output!$B$3:$P$17,MATCH('Defensive Summary'!J$1,Output!$A$3:$A$17,0),MATCH('Defensive Summary'!$B2,Output!$B$2:$P$2,0))</f>
        <v>2</v>
      </c>
      <c r="K2" s="24">
        <f>INDEX(Output!$B$3:$P$17,MATCH('Defensive Summary'!K$1,Output!$A$3:$A$17,0),MATCH('Defensive Summary'!$A2,Output!$B$2:$P$2,0))*INDEX(Output!$B$3:$P$17,MATCH('Defensive Summary'!K$1,Output!$A$3:$A$17,0),MATCH('Defensive Summary'!$B2,Output!$B$2:$P$2,0))</f>
        <v>1</v>
      </c>
      <c r="L2" s="24">
        <f>INDEX(Output!$B$3:$P$17,MATCH('Defensive Summary'!L$1,Output!$A$3:$A$17,0),MATCH('Defensive Summary'!$A2,Output!$B$2:$P$2,0))*INDEX(Output!$B$3:$P$17,MATCH('Defensive Summary'!L$1,Output!$A$3:$A$17,0),MATCH('Defensive Summary'!$B2,Output!$B$2:$P$2,0))</f>
        <v>0.5</v>
      </c>
      <c r="M2" s="24">
        <f>INDEX(Output!$B$3:$P$17,MATCH('Defensive Summary'!M$1,Output!$A$3:$A$17,0),MATCH('Defensive Summary'!$A2,Output!$B$2:$P$2,0))*INDEX(Output!$B$3:$P$17,MATCH('Defensive Summary'!M$1,Output!$A$3:$A$17,0),MATCH('Defensive Summary'!$B2,Output!$B$2:$P$2,0))</f>
        <v>2</v>
      </c>
      <c r="N2" s="24">
        <f>INDEX(Output!$B$3:$P$17,MATCH('Defensive Summary'!N$1,Output!$A$3:$A$17,0),MATCH('Defensive Summary'!$A2,Output!$B$2:$P$2,0))*INDEX(Output!$B$3:$P$17,MATCH('Defensive Summary'!N$1,Output!$A$3:$A$17,0),MATCH('Defensive Summary'!$B2,Output!$B$2:$P$2,0))</f>
        <v>1</v>
      </c>
      <c r="O2" s="24">
        <f>INDEX(Output!$B$3:$P$17,MATCH('Defensive Summary'!O$1,Output!$A$3:$A$17,0),MATCH('Defensive Summary'!$A2,Output!$B$2:$P$2,0))*INDEX(Output!$B$3:$P$17,MATCH('Defensive Summary'!O$1,Output!$A$3:$A$17,0),MATCH('Defensive Summary'!$B2,Output!$B$2:$P$2,0))</f>
        <v>0.5</v>
      </c>
      <c r="P2" s="24">
        <f>INDEX(Output!$B$3:$P$17,MATCH('Defensive Summary'!P$1,Output!$A$3:$A$17,0),MATCH('Defensive Summary'!$A2,Output!$B$2:$P$2,0))*INDEX(Output!$B$3:$P$17,MATCH('Defensive Summary'!P$1,Output!$A$3:$A$17,0),MATCH('Defensive Summary'!$B2,Output!$B$2:$P$2,0))</f>
        <v>1</v>
      </c>
      <c r="Q2" s="24">
        <f>INDEX(Output!$B$3:$P$17,MATCH('Defensive Summary'!Q$1,Output!$A$3:$A$17,0),MATCH('Defensive Summary'!$A2,Output!$B$2:$P$2,0))*INDEX(Output!$B$3:$P$17,MATCH('Defensive Summary'!Q$1,Output!$A$3:$A$17,0),MATCH('Defensive Summary'!$B2,Output!$B$2:$P$2,0))</f>
        <v>1</v>
      </c>
      <c r="R2" s="24"/>
      <c r="S2" s="25">
        <f>SUM(V2:AJ2)</f>
        <v>1</v>
      </c>
      <c r="T2" s="21" t="s">
        <v>0</v>
      </c>
      <c r="U2" s="22" t="s">
        <v>1</v>
      </c>
      <c r="V2" s="24" cm="1">
        <f t="array" ref="V2">_xlfn.IFS(C2=1,0,C2=2,-1,C2=4,-2,C2=0.5,1,C2=0.25,2,C2=0,4)</f>
        <v>2</v>
      </c>
      <c r="W2" s="24" cm="1">
        <f t="array" ref="W2">_xlfn.IFS(D2=1,0,D2=2,-1,D2=4,-2,D2=0.5,1,D2=0.25,2,D2=0,4)</f>
        <v>0</v>
      </c>
      <c r="X2" s="24" cm="1">
        <f t="array" ref="X2">_xlfn.IFS(E2=1,0,E2=2,-1,E2=4,-2,E2=0.5,1,E2=0.25,2,E2=0,4)</f>
        <v>0</v>
      </c>
      <c r="Y2" s="24" cm="1">
        <f t="array" ref="Y2">_xlfn.IFS(F2=1,0,F2=2,-1,F2=4,-2,F2=0.5,1,F2=0.25,2,F2=0,4)</f>
        <v>-1</v>
      </c>
      <c r="Z2" s="24" cm="1">
        <f t="array" ref="Z2">_xlfn.IFS(G2=1,0,G2=2,-1,G2=4,-2,G2=0.5,1,G2=0.25,2,G2=0,4)</f>
        <v>-1</v>
      </c>
      <c r="AA2" s="24" cm="1">
        <f t="array" ref="AA2">_xlfn.IFS(H2=1,0,H2=2,-1,H2=4,-2,H2=0.5,1,H2=0.25,2,H2=0,4)</f>
        <v>-1</v>
      </c>
      <c r="AB2" s="24" cm="1">
        <f t="array" ref="AB2">_xlfn.IFS(I2=1,0,I2=2,-1,I2=4,-2,I2=0.5,1,I2=0.25,2,I2=0,4)</f>
        <v>2</v>
      </c>
      <c r="AC2" s="24" cm="1">
        <f t="array" ref="AC2">_xlfn.IFS(J2=1,0,J2=2,-1,J2=4,-2,J2=0.5,1,J2=0.25,2,J2=0,4)</f>
        <v>-1</v>
      </c>
      <c r="AD2" s="24" cm="1">
        <f t="array" ref="AD2">_xlfn.IFS(K2=1,0,K2=2,-1,K2=4,-2,K2=0.5,1,K2=0.25,2,K2=0,4)</f>
        <v>0</v>
      </c>
      <c r="AE2" s="24" cm="1">
        <f t="array" ref="AE2">_xlfn.IFS(L2=1,0,L2=2,-1,L2=4,-2,L2=0.5,1,L2=0.25,2,L2=0,4)</f>
        <v>1</v>
      </c>
      <c r="AF2" s="24" cm="1">
        <f t="array" ref="AF2">_xlfn.IFS(M2=1,0,M2=2,-1,M2=4,-2,M2=0.5,1,M2=0.25,2,M2=0,4)</f>
        <v>-1</v>
      </c>
      <c r="AG2" s="24" cm="1">
        <f t="array" ref="AG2">_xlfn.IFS(N2=1,0,N2=2,-1,N2=4,-2,N2=0.5,1,N2=0.25,2,N2=0,4)</f>
        <v>0</v>
      </c>
      <c r="AH2" s="24" cm="1">
        <f t="array" ref="AH2">_xlfn.IFS(O2=1,0,O2=2,-1,O2=4,-2,O2=0.5,1,O2=0.25,2,O2=0,4)</f>
        <v>1</v>
      </c>
      <c r="AI2" s="24" cm="1">
        <f t="array" ref="AI2">_xlfn.IFS(P2=1,0,P2=2,-1,P2=4,-2,P2=0.5,1,P2=0.25,2,P2=0,4)</f>
        <v>0</v>
      </c>
      <c r="AJ2" s="24" cm="1">
        <f t="array" ref="AJ2">_xlfn.IFS(Q2=1,0,Q2=2,-1,Q2=4,-2,Q2=0.5,1,Q2=0.25,2,Q2=0,4)</f>
        <v>0</v>
      </c>
    </row>
    <row r="3" spans="1:36" x14ac:dyDescent="0.2">
      <c r="A3" s="21" t="s">
        <v>0</v>
      </c>
      <c r="B3" s="22" t="s">
        <v>2</v>
      </c>
      <c r="C3" s="24">
        <f>INDEX(Output!$B$3:$P$17,MATCH('Defensive Summary'!C$1,Output!$A$3:$A$17,0),MATCH('Defensive Summary'!$A3,Output!$B$2:$P$2,0))*INDEX(Output!$B$3:$P$17,MATCH('Defensive Summary'!C$1,Output!$A$3:$A$17,0),MATCH('Defensive Summary'!$B3,Output!$B$2:$P$2,0))</f>
        <v>1</v>
      </c>
      <c r="D3" s="24">
        <f>INDEX(Output!$B$3:$P$17,MATCH('Defensive Summary'!D$1,Output!$A$3:$A$17,0),MATCH('Defensive Summary'!$A3,Output!$B$2:$P$2,0))*INDEX(Output!$B$3:$P$17,MATCH('Defensive Summary'!D$1,Output!$A$3:$A$17,0),MATCH('Defensive Summary'!$B3,Output!$B$2:$P$2,0))</f>
        <v>1</v>
      </c>
      <c r="E3" s="24">
        <f>INDEX(Output!$B$3:$P$17,MATCH('Defensive Summary'!E$1,Output!$A$3:$A$17,0),MATCH('Defensive Summary'!$A3,Output!$B$2:$P$2,0))*INDEX(Output!$B$3:$P$17,MATCH('Defensive Summary'!E$1,Output!$A$3:$A$17,0),MATCH('Defensive Summary'!$B3,Output!$B$2:$P$2,0))</f>
        <v>0.25</v>
      </c>
      <c r="F3" s="24">
        <f>INDEX(Output!$B$3:$P$17,MATCH('Defensive Summary'!F$1,Output!$A$3:$A$17,0),MATCH('Defensive Summary'!$A3,Output!$B$2:$P$2,0))*INDEX(Output!$B$3:$P$17,MATCH('Defensive Summary'!F$1,Output!$A$3:$A$17,0),MATCH('Defensive Summary'!$B3,Output!$B$2:$P$2,0))</f>
        <v>1</v>
      </c>
      <c r="G3" s="24">
        <f>INDEX(Output!$B$3:$P$17,MATCH('Defensive Summary'!G$1,Output!$A$3:$A$17,0),MATCH('Defensive Summary'!$A3,Output!$B$2:$P$2,0))*INDEX(Output!$B$3:$P$17,MATCH('Defensive Summary'!G$1,Output!$A$3:$A$17,0),MATCH('Defensive Summary'!$B3,Output!$B$2:$P$2,0))</f>
        <v>2</v>
      </c>
      <c r="H3" s="24">
        <f>INDEX(Output!$B$3:$P$17,MATCH('Defensive Summary'!H$1,Output!$A$3:$A$17,0),MATCH('Defensive Summary'!$A3,Output!$B$2:$P$2,0))*INDEX(Output!$B$3:$P$17,MATCH('Defensive Summary'!H$1,Output!$A$3:$A$17,0),MATCH('Defensive Summary'!$B3,Output!$B$2:$P$2,0))</f>
        <v>1</v>
      </c>
      <c r="I3" s="24">
        <f>INDEX(Output!$B$3:$P$17,MATCH('Defensive Summary'!I$1,Output!$A$3:$A$17,0),MATCH('Defensive Summary'!$A3,Output!$B$2:$P$2,0))*INDEX(Output!$B$3:$P$17,MATCH('Defensive Summary'!I$1,Output!$A$3:$A$17,0),MATCH('Defensive Summary'!$B3,Output!$B$2:$P$2,0))</f>
        <v>1</v>
      </c>
      <c r="J3" s="24">
        <f>INDEX(Output!$B$3:$P$17,MATCH('Defensive Summary'!J$1,Output!$A$3:$A$17,0),MATCH('Defensive Summary'!$A3,Output!$B$2:$P$2,0))*INDEX(Output!$B$3:$P$17,MATCH('Defensive Summary'!J$1,Output!$A$3:$A$17,0),MATCH('Defensive Summary'!$B3,Output!$B$2:$P$2,0))</f>
        <v>2</v>
      </c>
      <c r="K3" s="24">
        <f>INDEX(Output!$B$3:$P$17,MATCH('Defensive Summary'!K$1,Output!$A$3:$A$17,0),MATCH('Defensive Summary'!$A3,Output!$B$2:$P$2,0))*INDEX(Output!$B$3:$P$17,MATCH('Defensive Summary'!K$1,Output!$A$3:$A$17,0),MATCH('Defensive Summary'!$B3,Output!$B$2:$P$2,0))</f>
        <v>0.5</v>
      </c>
      <c r="L3" s="24">
        <f>INDEX(Output!$B$3:$P$17,MATCH('Defensive Summary'!L$1,Output!$A$3:$A$17,0),MATCH('Defensive Summary'!$A3,Output!$B$2:$P$2,0))*INDEX(Output!$B$3:$P$17,MATCH('Defensive Summary'!L$1,Output!$A$3:$A$17,0),MATCH('Defensive Summary'!$B3,Output!$B$2:$P$2,0))</f>
        <v>0.5</v>
      </c>
      <c r="M3" s="24">
        <f>INDEX(Output!$B$3:$P$17,MATCH('Defensive Summary'!M$1,Output!$A$3:$A$17,0),MATCH('Defensive Summary'!$A3,Output!$B$2:$P$2,0))*INDEX(Output!$B$3:$P$17,MATCH('Defensive Summary'!M$1,Output!$A$3:$A$17,0),MATCH('Defensive Summary'!$B3,Output!$B$2:$P$2,0))</f>
        <v>2</v>
      </c>
      <c r="N3" s="24">
        <f>INDEX(Output!$B$3:$P$17,MATCH('Defensive Summary'!N$1,Output!$A$3:$A$17,0),MATCH('Defensive Summary'!$A3,Output!$B$2:$P$2,0))*INDEX(Output!$B$3:$P$17,MATCH('Defensive Summary'!N$1,Output!$A$3:$A$17,0),MATCH('Defensive Summary'!$B3,Output!$B$2:$P$2,0))</f>
        <v>1</v>
      </c>
      <c r="O3" s="24">
        <f>INDEX(Output!$B$3:$P$17,MATCH('Defensive Summary'!O$1,Output!$A$3:$A$17,0),MATCH('Defensive Summary'!$A3,Output!$B$2:$P$2,0))*INDEX(Output!$B$3:$P$17,MATCH('Defensive Summary'!O$1,Output!$A$3:$A$17,0),MATCH('Defensive Summary'!$B3,Output!$B$2:$P$2,0))</f>
        <v>1</v>
      </c>
      <c r="P3" s="24">
        <f>INDEX(Output!$B$3:$P$17,MATCH('Defensive Summary'!P$1,Output!$A$3:$A$17,0),MATCH('Defensive Summary'!$A3,Output!$B$2:$P$2,0))*INDEX(Output!$B$3:$P$17,MATCH('Defensive Summary'!P$1,Output!$A$3:$A$17,0),MATCH('Defensive Summary'!$B3,Output!$B$2:$P$2,0))</f>
        <v>1</v>
      </c>
      <c r="Q3" s="24">
        <f>INDEX(Output!$B$3:$P$17,MATCH('Defensive Summary'!Q$1,Output!$A$3:$A$17,0),MATCH('Defensive Summary'!$A3,Output!$B$2:$P$2,0))*INDEX(Output!$B$3:$P$17,MATCH('Defensive Summary'!Q$1,Output!$A$3:$A$17,0),MATCH('Defensive Summary'!$B3,Output!$B$2:$P$2,0))</f>
        <v>1</v>
      </c>
      <c r="R3" s="24"/>
      <c r="S3" s="25">
        <f t="shared" ref="S3:S66" si="0">SUM(V3:AJ3)</f>
        <v>1</v>
      </c>
      <c r="T3" s="21" t="s">
        <v>0</v>
      </c>
      <c r="U3" s="22" t="s">
        <v>2</v>
      </c>
      <c r="V3" s="24" cm="1">
        <f t="array" ref="V3">_xlfn.IFS(C3=1,0,C3=2,-1,C3=4,-2,C3=0.5,1,C3=0.25,2,C3=0,4)</f>
        <v>0</v>
      </c>
      <c r="W3" s="24" cm="1">
        <f t="array" ref="W3">_xlfn.IFS(D3=1,0,D3=2,-1,D3=4,-2,D3=0.5,1,D3=0.25,2,D3=0,4)</f>
        <v>0</v>
      </c>
      <c r="X3" s="24" cm="1">
        <f t="array" ref="X3">_xlfn.IFS(E3=1,0,E3=2,-1,E3=4,-2,E3=0.5,1,E3=0.25,2,E3=0,4)</f>
        <v>2</v>
      </c>
      <c r="Y3" s="24" cm="1">
        <f t="array" ref="Y3">_xlfn.IFS(F3=1,0,F3=2,-1,F3=4,-2,F3=0.5,1,F3=0.25,2,F3=0,4)</f>
        <v>0</v>
      </c>
      <c r="Z3" s="24" cm="1">
        <f t="array" ref="Z3">_xlfn.IFS(G3=1,0,G3=2,-1,G3=4,-2,G3=0.5,1,G3=0.25,2,G3=0,4)</f>
        <v>-1</v>
      </c>
      <c r="AA3" s="24" cm="1">
        <f t="array" ref="AA3">_xlfn.IFS(H3=1,0,H3=2,-1,H3=4,-2,H3=0.5,1,H3=0.25,2,H3=0,4)</f>
        <v>0</v>
      </c>
      <c r="AB3" s="24" cm="1">
        <f t="array" ref="AB3">_xlfn.IFS(I3=1,0,I3=2,-1,I3=4,-2,I3=0.5,1,I3=0.25,2,I3=0,4)</f>
        <v>0</v>
      </c>
      <c r="AC3" s="24" cm="1">
        <f t="array" ref="AC3">_xlfn.IFS(J3=1,0,J3=2,-1,J3=4,-2,J3=0.5,1,J3=0.25,2,J3=0,4)</f>
        <v>-1</v>
      </c>
      <c r="AD3" s="24" cm="1">
        <f t="array" ref="AD3">_xlfn.IFS(K3=1,0,K3=2,-1,K3=4,-2,K3=0.5,1,K3=0.25,2,K3=0,4)</f>
        <v>1</v>
      </c>
      <c r="AE3" s="24" cm="1">
        <f t="array" ref="AE3">_xlfn.IFS(L3=1,0,L3=2,-1,L3=4,-2,L3=0.5,1,L3=0.25,2,L3=0,4)</f>
        <v>1</v>
      </c>
      <c r="AF3" s="24" cm="1">
        <f t="array" ref="AF3">_xlfn.IFS(M3=1,0,M3=2,-1,M3=4,-2,M3=0.5,1,M3=0.25,2,M3=0,4)</f>
        <v>-1</v>
      </c>
      <c r="AG3" s="24" cm="1">
        <f t="array" ref="AG3">_xlfn.IFS(N3=1,0,N3=2,-1,N3=4,-2,N3=0.5,1,N3=0.25,2,N3=0,4)</f>
        <v>0</v>
      </c>
      <c r="AH3" s="24" cm="1">
        <f t="array" ref="AH3">_xlfn.IFS(O3=1,0,O3=2,-1,O3=4,-2,O3=0.5,1,O3=0.25,2,O3=0,4)</f>
        <v>0</v>
      </c>
      <c r="AI3" s="24" cm="1">
        <f t="array" ref="AI3">_xlfn.IFS(P3=1,0,P3=2,-1,P3=4,-2,P3=0.5,1,P3=0.25,2,P3=0,4)</f>
        <v>0</v>
      </c>
      <c r="AJ3" s="24" cm="1">
        <f t="array" ref="AJ3">_xlfn.IFS(Q3=1,0,Q3=2,-1,Q3=4,-2,Q3=0.5,1,Q3=0.25,2,Q3=0,4)</f>
        <v>0</v>
      </c>
    </row>
    <row r="4" spans="1:36" x14ac:dyDescent="0.2">
      <c r="A4" s="21" t="s">
        <v>0</v>
      </c>
      <c r="B4" s="22" t="s">
        <v>3</v>
      </c>
      <c r="C4" s="24">
        <f>INDEX(Output!$B$3:$P$17,MATCH('Defensive Summary'!C$1,Output!$A$3:$A$17,0),MATCH('Defensive Summary'!$A4,Output!$B$2:$P$2,0))*INDEX(Output!$B$3:$P$17,MATCH('Defensive Summary'!C$1,Output!$A$3:$A$17,0),MATCH('Defensive Summary'!$B4,Output!$B$2:$P$2,0))</f>
        <v>1</v>
      </c>
      <c r="D4" s="24">
        <f>INDEX(Output!$B$3:$P$17,MATCH('Defensive Summary'!D$1,Output!$A$3:$A$17,0),MATCH('Defensive Summary'!$A4,Output!$B$2:$P$2,0))*INDEX(Output!$B$3:$P$17,MATCH('Defensive Summary'!D$1,Output!$A$3:$A$17,0),MATCH('Defensive Summary'!$B4,Output!$B$2:$P$2,0))</f>
        <v>4</v>
      </c>
      <c r="E4" s="24">
        <f>INDEX(Output!$B$3:$P$17,MATCH('Defensive Summary'!E$1,Output!$A$3:$A$17,0),MATCH('Defensive Summary'!$A4,Output!$B$2:$P$2,0))*INDEX(Output!$B$3:$P$17,MATCH('Defensive Summary'!E$1,Output!$A$3:$A$17,0),MATCH('Defensive Summary'!$B4,Output!$B$2:$P$2,0))</f>
        <v>1</v>
      </c>
      <c r="F4" s="24">
        <f>INDEX(Output!$B$3:$P$17,MATCH('Defensive Summary'!F$1,Output!$A$3:$A$17,0),MATCH('Defensive Summary'!$A4,Output!$B$2:$P$2,0))*INDEX(Output!$B$3:$P$17,MATCH('Defensive Summary'!F$1,Output!$A$3:$A$17,0),MATCH('Defensive Summary'!$B4,Output!$B$2:$P$2,0))</f>
        <v>1</v>
      </c>
      <c r="G4" s="24">
        <f>INDEX(Output!$B$3:$P$17,MATCH('Defensive Summary'!G$1,Output!$A$3:$A$17,0),MATCH('Defensive Summary'!$A4,Output!$B$2:$P$2,0))*INDEX(Output!$B$3:$P$17,MATCH('Defensive Summary'!G$1,Output!$A$3:$A$17,0),MATCH('Defensive Summary'!$B4,Output!$B$2:$P$2,0))</f>
        <v>0</v>
      </c>
      <c r="H4" s="24">
        <f>INDEX(Output!$B$3:$P$17,MATCH('Defensive Summary'!H$1,Output!$A$3:$A$17,0),MATCH('Defensive Summary'!$A4,Output!$B$2:$P$2,0))*INDEX(Output!$B$3:$P$17,MATCH('Defensive Summary'!H$1,Output!$A$3:$A$17,0),MATCH('Defensive Summary'!$B4,Output!$B$2:$P$2,0))</f>
        <v>0</v>
      </c>
      <c r="I4" s="24">
        <f>INDEX(Output!$B$3:$P$17,MATCH('Defensive Summary'!I$1,Output!$A$3:$A$17,0),MATCH('Defensive Summary'!$A4,Output!$B$2:$P$2,0))*INDEX(Output!$B$3:$P$17,MATCH('Defensive Summary'!I$1,Output!$A$3:$A$17,0),MATCH('Defensive Summary'!$B4,Output!$B$2:$P$2,0))</f>
        <v>0.25</v>
      </c>
      <c r="J4" s="24">
        <f>INDEX(Output!$B$3:$P$17,MATCH('Defensive Summary'!J$1,Output!$A$3:$A$17,0),MATCH('Defensive Summary'!$A4,Output!$B$2:$P$2,0))*INDEX(Output!$B$3:$P$17,MATCH('Defensive Summary'!J$1,Output!$A$3:$A$17,0),MATCH('Defensive Summary'!$B4,Output!$B$2:$P$2,0))</f>
        <v>1</v>
      </c>
      <c r="K4" s="24">
        <f>INDEX(Output!$B$3:$P$17,MATCH('Defensive Summary'!K$1,Output!$A$3:$A$17,0),MATCH('Defensive Summary'!$A4,Output!$B$2:$P$2,0))*INDEX(Output!$B$3:$P$17,MATCH('Defensive Summary'!K$1,Output!$A$3:$A$17,0),MATCH('Defensive Summary'!$B4,Output!$B$2:$P$2,0))</f>
        <v>0.5</v>
      </c>
      <c r="L4" s="24">
        <f>INDEX(Output!$B$3:$P$17,MATCH('Defensive Summary'!L$1,Output!$A$3:$A$17,0),MATCH('Defensive Summary'!$A4,Output!$B$2:$P$2,0))*INDEX(Output!$B$3:$P$17,MATCH('Defensive Summary'!L$1,Output!$A$3:$A$17,0),MATCH('Defensive Summary'!$B4,Output!$B$2:$P$2,0))</f>
        <v>0.25</v>
      </c>
      <c r="M4" s="24">
        <f>INDEX(Output!$B$3:$P$17,MATCH('Defensive Summary'!M$1,Output!$A$3:$A$17,0),MATCH('Defensive Summary'!$A4,Output!$B$2:$P$2,0))*INDEX(Output!$B$3:$P$17,MATCH('Defensive Summary'!M$1,Output!$A$3:$A$17,0),MATCH('Defensive Summary'!$B4,Output!$B$2:$P$2,0))</f>
        <v>2</v>
      </c>
      <c r="N4" s="24">
        <f>INDEX(Output!$B$3:$P$17,MATCH('Defensive Summary'!N$1,Output!$A$3:$A$17,0),MATCH('Defensive Summary'!$A4,Output!$B$2:$P$2,0))*INDEX(Output!$B$3:$P$17,MATCH('Defensive Summary'!N$1,Output!$A$3:$A$17,0),MATCH('Defensive Summary'!$B4,Output!$B$2:$P$2,0))</f>
        <v>1</v>
      </c>
      <c r="O4" s="24">
        <f>INDEX(Output!$B$3:$P$17,MATCH('Defensive Summary'!O$1,Output!$A$3:$A$17,0),MATCH('Defensive Summary'!$A4,Output!$B$2:$P$2,0))*INDEX(Output!$B$3:$P$17,MATCH('Defensive Summary'!O$1,Output!$A$3:$A$17,0),MATCH('Defensive Summary'!$B4,Output!$B$2:$P$2,0))</f>
        <v>1</v>
      </c>
      <c r="P4" s="24">
        <f>INDEX(Output!$B$3:$P$17,MATCH('Defensive Summary'!P$1,Output!$A$3:$A$17,0),MATCH('Defensive Summary'!$A4,Output!$B$2:$P$2,0))*INDEX(Output!$B$3:$P$17,MATCH('Defensive Summary'!P$1,Output!$A$3:$A$17,0),MATCH('Defensive Summary'!$B4,Output!$B$2:$P$2,0))</f>
        <v>1</v>
      </c>
      <c r="Q4" s="24">
        <f>INDEX(Output!$B$3:$P$17,MATCH('Defensive Summary'!Q$1,Output!$A$3:$A$17,0),MATCH('Defensive Summary'!$A4,Output!$B$2:$P$2,0))*INDEX(Output!$B$3:$P$17,MATCH('Defensive Summary'!Q$1,Output!$A$3:$A$17,0),MATCH('Defensive Summary'!$B4,Output!$B$2:$P$2,0))</f>
        <v>1</v>
      </c>
      <c r="R4" s="24"/>
      <c r="S4" s="25">
        <f t="shared" si="0"/>
        <v>10</v>
      </c>
      <c r="T4" s="21" t="s">
        <v>0</v>
      </c>
      <c r="U4" s="22" t="s">
        <v>3</v>
      </c>
      <c r="V4" s="24" cm="1">
        <f t="array" ref="V4">_xlfn.IFS(C4=1,0,C4=2,-1,C4=4,-2,C4=0.5,1,C4=0.25,2,C4=0,4)</f>
        <v>0</v>
      </c>
      <c r="W4" s="24" cm="1">
        <f t="array" ref="W4">_xlfn.IFS(D4=1,0,D4=2,-1,D4=4,-2,D4=0.5,1,D4=0.25,2,D4=0,4)</f>
        <v>-2</v>
      </c>
      <c r="X4" s="24" cm="1">
        <f t="array" ref="X4">_xlfn.IFS(E4=1,0,E4=2,-1,E4=4,-2,E4=0.5,1,E4=0.25,2,E4=0,4)</f>
        <v>0</v>
      </c>
      <c r="Y4" s="24" cm="1">
        <f t="array" ref="Y4">_xlfn.IFS(F4=1,0,F4=2,-1,F4=4,-2,F4=0.5,1,F4=0.25,2,F4=0,4)</f>
        <v>0</v>
      </c>
      <c r="Z4" s="24" cm="1">
        <f t="array" ref="Z4">_xlfn.IFS(G4=1,0,G4=2,-1,G4=4,-2,G4=0.5,1,G4=0.25,2,G4=0,4)</f>
        <v>4</v>
      </c>
      <c r="AA4" s="24" cm="1">
        <f t="array" ref="AA4">_xlfn.IFS(H4=1,0,H4=2,-1,H4=4,-2,H4=0.5,1,H4=0.25,2,H4=0,4)</f>
        <v>4</v>
      </c>
      <c r="AB4" s="24" cm="1">
        <f t="array" ref="AB4">_xlfn.IFS(I4=1,0,I4=2,-1,I4=4,-2,I4=0.5,1,I4=0.25,2,I4=0,4)</f>
        <v>2</v>
      </c>
      <c r="AC4" s="24" cm="1">
        <f t="array" ref="AC4">_xlfn.IFS(J4=1,0,J4=2,-1,J4=4,-2,J4=0.5,1,J4=0.25,2,J4=0,4)</f>
        <v>0</v>
      </c>
      <c r="AD4" s="24" cm="1">
        <f t="array" ref="AD4">_xlfn.IFS(K4=1,0,K4=2,-1,K4=4,-2,K4=0.5,1,K4=0.25,2,K4=0,4)</f>
        <v>1</v>
      </c>
      <c r="AE4" s="24" cm="1">
        <f t="array" ref="AE4">_xlfn.IFS(L4=1,0,L4=2,-1,L4=4,-2,L4=0.5,1,L4=0.25,2,L4=0,4)</f>
        <v>2</v>
      </c>
      <c r="AF4" s="24" cm="1">
        <f t="array" ref="AF4">_xlfn.IFS(M4=1,0,M4=2,-1,M4=4,-2,M4=0.5,1,M4=0.25,2,M4=0,4)</f>
        <v>-1</v>
      </c>
      <c r="AG4" s="24" cm="1">
        <f t="array" ref="AG4">_xlfn.IFS(N4=1,0,N4=2,-1,N4=4,-2,N4=0.5,1,N4=0.25,2,N4=0,4)</f>
        <v>0</v>
      </c>
      <c r="AH4" s="24" cm="1">
        <f t="array" ref="AH4">_xlfn.IFS(O4=1,0,O4=2,-1,O4=4,-2,O4=0.5,1,O4=0.25,2,O4=0,4)</f>
        <v>0</v>
      </c>
      <c r="AI4" s="24" cm="1">
        <f t="array" ref="AI4">_xlfn.IFS(P4=1,0,P4=2,-1,P4=4,-2,P4=0.5,1,P4=0.25,2,P4=0,4)</f>
        <v>0</v>
      </c>
      <c r="AJ4" s="24" cm="1">
        <f t="array" ref="AJ4">_xlfn.IFS(Q4=1,0,Q4=2,-1,Q4=4,-2,Q4=0.5,1,Q4=0.25,2,Q4=0,4)</f>
        <v>0</v>
      </c>
    </row>
    <row r="5" spans="1:36" x14ac:dyDescent="0.2">
      <c r="A5" s="21" t="s">
        <v>0</v>
      </c>
      <c r="B5" s="22" t="s">
        <v>4</v>
      </c>
      <c r="C5" s="24">
        <f>INDEX(Output!$B$3:$P$17,MATCH('Defensive Summary'!C$1,Output!$A$3:$A$17,0),MATCH('Defensive Summary'!$A5,Output!$B$2:$P$2,0))*INDEX(Output!$B$3:$P$17,MATCH('Defensive Summary'!C$1,Output!$A$3:$A$17,0),MATCH('Defensive Summary'!$B5,Output!$B$2:$P$2,0))</f>
        <v>0.25</v>
      </c>
      <c r="D5" s="24">
        <f>INDEX(Output!$B$3:$P$17,MATCH('Defensive Summary'!D$1,Output!$A$3:$A$17,0),MATCH('Defensive Summary'!$A5,Output!$B$2:$P$2,0))*INDEX(Output!$B$3:$P$17,MATCH('Defensive Summary'!D$1,Output!$A$3:$A$17,0),MATCH('Defensive Summary'!$B5,Output!$B$2:$P$2,0))</f>
        <v>2</v>
      </c>
      <c r="E5" s="24">
        <f>INDEX(Output!$B$3:$P$17,MATCH('Defensive Summary'!E$1,Output!$A$3:$A$17,0),MATCH('Defensive Summary'!$A5,Output!$B$2:$P$2,0))*INDEX(Output!$B$3:$P$17,MATCH('Defensive Summary'!E$1,Output!$A$3:$A$17,0),MATCH('Defensive Summary'!$B5,Output!$B$2:$P$2,0))</f>
        <v>0.25</v>
      </c>
      <c r="F5" s="24">
        <f>INDEX(Output!$B$3:$P$17,MATCH('Defensive Summary'!F$1,Output!$A$3:$A$17,0),MATCH('Defensive Summary'!$A5,Output!$B$2:$P$2,0))*INDEX(Output!$B$3:$P$17,MATCH('Defensive Summary'!F$1,Output!$A$3:$A$17,0),MATCH('Defensive Summary'!$B5,Output!$B$2:$P$2,0))</f>
        <v>0</v>
      </c>
      <c r="G5" s="24">
        <f>INDEX(Output!$B$3:$P$17,MATCH('Defensive Summary'!G$1,Output!$A$3:$A$17,0),MATCH('Defensive Summary'!$A5,Output!$B$2:$P$2,0))*INDEX(Output!$B$3:$P$17,MATCH('Defensive Summary'!G$1,Output!$A$3:$A$17,0),MATCH('Defensive Summary'!$B5,Output!$B$2:$P$2,0))</f>
        <v>1</v>
      </c>
      <c r="H5" s="24">
        <f>INDEX(Output!$B$3:$P$17,MATCH('Defensive Summary'!H$1,Output!$A$3:$A$17,0),MATCH('Defensive Summary'!$A5,Output!$B$2:$P$2,0))*INDEX(Output!$B$3:$P$17,MATCH('Defensive Summary'!H$1,Output!$A$3:$A$17,0),MATCH('Defensive Summary'!$B5,Output!$B$2:$P$2,0))</f>
        <v>2</v>
      </c>
      <c r="I5" s="24">
        <f>INDEX(Output!$B$3:$P$17,MATCH('Defensive Summary'!I$1,Output!$A$3:$A$17,0),MATCH('Defensive Summary'!$A5,Output!$B$2:$P$2,0))*INDEX(Output!$B$3:$P$17,MATCH('Defensive Summary'!I$1,Output!$A$3:$A$17,0),MATCH('Defensive Summary'!$B5,Output!$B$2:$P$2,0))</f>
        <v>1</v>
      </c>
      <c r="J5" s="24">
        <f>INDEX(Output!$B$3:$P$17,MATCH('Defensive Summary'!J$1,Output!$A$3:$A$17,0),MATCH('Defensive Summary'!$A5,Output!$B$2:$P$2,0))*INDEX(Output!$B$3:$P$17,MATCH('Defensive Summary'!J$1,Output!$A$3:$A$17,0),MATCH('Defensive Summary'!$B5,Output!$B$2:$P$2,0))</f>
        <v>4</v>
      </c>
      <c r="K5" s="24">
        <f>INDEX(Output!$B$3:$P$17,MATCH('Defensive Summary'!K$1,Output!$A$3:$A$17,0),MATCH('Defensive Summary'!$A5,Output!$B$2:$P$2,0))*INDEX(Output!$B$3:$P$17,MATCH('Defensive Summary'!K$1,Output!$A$3:$A$17,0),MATCH('Defensive Summary'!$B5,Output!$B$2:$P$2,0))</f>
        <v>1</v>
      </c>
      <c r="L5" s="24">
        <f>INDEX(Output!$B$3:$P$17,MATCH('Defensive Summary'!L$1,Output!$A$3:$A$17,0),MATCH('Defensive Summary'!$A5,Output!$B$2:$P$2,0))*INDEX(Output!$B$3:$P$17,MATCH('Defensive Summary'!L$1,Output!$A$3:$A$17,0),MATCH('Defensive Summary'!$B5,Output!$B$2:$P$2,0))</f>
        <v>0.5</v>
      </c>
      <c r="M5" s="24">
        <f>INDEX(Output!$B$3:$P$17,MATCH('Defensive Summary'!M$1,Output!$A$3:$A$17,0),MATCH('Defensive Summary'!$A5,Output!$B$2:$P$2,0))*INDEX(Output!$B$3:$P$17,MATCH('Defensive Summary'!M$1,Output!$A$3:$A$17,0),MATCH('Defensive Summary'!$B5,Output!$B$2:$P$2,0))</f>
        <v>4</v>
      </c>
      <c r="N5" s="24">
        <f>INDEX(Output!$B$3:$P$17,MATCH('Defensive Summary'!N$1,Output!$A$3:$A$17,0),MATCH('Defensive Summary'!$A5,Output!$B$2:$P$2,0))*INDEX(Output!$B$3:$P$17,MATCH('Defensive Summary'!N$1,Output!$A$3:$A$17,0),MATCH('Defensive Summary'!$B5,Output!$B$2:$P$2,0))</f>
        <v>2</v>
      </c>
      <c r="O5" s="24">
        <f>INDEX(Output!$B$3:$P$17,MATCH('Defensive Summary'!O$1,Output!$A$3:$A$17,0),MATCH('Defensive Summary'!$A5,Output!$B$2:$P$2,0))*INDEX(Output!$B$3:$P$17,MATCH('Defensive Summary'!O$1,Output!$A$3:$A$17,0),MATCH('Defensive Summary'!$B5,Output!$B$2:$P$2,0))</f>
        <v>1</v>
      </c>
      <c r="P5" s="24">
        <f>INDEX(Output!$B$3:$P$17,MATCH('Defensive Summary'!P$1,Output!$A$3:$A$17,0),MATCH('Defensive Summary'!$A5,Output!$B$2:$P$2,0))*INDEX(Output!$B$3:$P$17,MATCH('Defensive Summary'!P$1,Output!$A$3:$A$17,0),MATCH('Defensive Summary'!$B5,Output!$B$2:$P$2,0))</f>
        <v>2</v>
      </c>
      <c r="Q5" s="24">
        <f>INDEX(Output!$B$3:$P$17,MATCH('Defensive Summary'!Q$1,Output!$A$3:$A$17,0),MATCH('Defensive Summary'!$A5,Output!$B$2:$P$2,0))*INDEX(Output!$B$3:$P$17,MATCH('Defensive Summary'!Q$1,Output!$A$3:$A$17,0),MATCH('Defensive Summary'!$B5,Output!$B$2:$P$2,0))</f>
        <v>1</v>
      </c>
      <c r="R5" s="24"/>
      <c r="S5" s="25">
        <f t="shared" si="0"/>
        <v>1</v>
      </c>
      <c r="T5" s="21" t="s">
        <v>0</v>
      </c>
      <c r="U5" s="22" t="s">
        <v>4</v>
      </c>
      <c r="V5" s="24" cm="1">
        <f t="array" ref="V5">_xlfn.IFS(C5=1,0,C5=2,-1,C5=4,-2,C5=0.5,1,C5=0.25,2,C5=0,4)</f>
        <v>2</v>
      </c>
      <c r="W5" s="24" cm="1">
        <f t="array" ref="W5">_xlfn.IFS(D5=1,0,D5=2,-1,D5=4,-2,D5=0.5,1,D5=0.25,2,D5=0,4)</f>
        <v>-1</v>
      </c>
      <c r="X5" s="24" cm="1">
        <f t="array" ref="X5">_xlfn.IFS(E5=1,0,E5=2,-1,E5=4,-2,E5=0.5,1,E5=0.25,2,E5=0,4)</f>
        <v>2</v>
      </c>
      <c r="Y5" s="24" cm="1">
        <f t="array" ref="Y5">_xlfn.IFS(F5=1,0,F5=2,-1,F5=4,-2,F5=0.5,1,F5=0.25,2,F5=0,4)</f>
        <v>4</v>
      </c>
      <c r="Z5" s="24" cm="1">
        <f t="array" ref="Z5">_xlfn.IFS(G5=1,0,G5=2,-1,G5=4,-2,G5=0.5,1,G5=0.25,2,G5=0,4)</f>
        <v>0</v>
      </c>
      <c r="AA5" s="24" cm="1">
        <f t="array" ref="AA5">_xlfn.IFS(H5=1,0,H5=2,-1,H5=4,-2,H5=0.5,1,H5=0.25,2,H5=0,4)</f>
        <v>-1</v>
      </c>
      <c r="AB5" s="24" cm="1">
        <f t="array" ref="AB5">_xlfn.IFS(I5=1,0,I5=2,-1,I5=4,-2,I5=0.5,1,I5=0.25,2,I5=0,4)</f>
        <v>0</v>
      </c>
      <c r="AC5" s="24" cm="1">
        <f t="array" ref="AC5">_xlfn.IFS(J5=1,0,J5=2,-1,J5=4,-2,J5=0.5,1,J5=0.25,2,J5=0,4)</f>
        <v>-2</v>
      </c>
      <c r="AD5" s="24" cm="1">
        <f t="array" ref="AD5">_xlfn.IFS(K5=1,0,K5=2,-1,K5=4,-2,K5=0.5,1,K5=0.25,2,K5=0,4)</f>
        <v>0</v>
      </c>
      <c r="AE5" s="24" cm="1">
        <f t="array" ref="AE5">_xlfn.IFS(L5=1,0,L5=2,-1,L5=4,-2,L5=0.5,1,L5=0.25,2,L5=0,4)</f>
        <v>1</v>
      </c>
      <c r="AF5" s="24" cm="1">
        <f t="array" ref="AF5">_xlfn.IFS(M5=1,0,M5=2,-1,M5=4,-2,M5=0.5,1,M5=0.25,2,M5=0,4)</f>
        <v>-2</v>
      </c>
      <c r="AG5" s="24" cm="1">
        <f t="array" ref="AG5">_xlfn.IFS(N5=1,0,N5=2,-1,N5=4,-2,N5=0.5,1,N5=0.25,2,N5=0,4)</f>
        <v>-1</v>
      </c>
      <c r="AH5" s="24" cm="1">
        <f t="array" ref="AH5">_xlfn.IFS(O5=1,0,O5=2,-1,O5=4,-2,O5=0.5,1,O5=0.25,2,O5=0,4)</f>
        <v>0</v>
      </c>
      <c r="AI5" s="24" cm="1">
        <f t="array" ref="AI5">_xlfn.IFS(P5=1,0,P5=2,-1,P5=4,-2,P5=0.5,1,P5=0.25,2,P5=0,4)</f>
        <v>-1</v>
      </c>
      <c r="AJ5" s="24" cm="1">
        <f t="array" ref="AJ5">_xlfn.IFS(Q5=1,0,Q5=2,-1,Q5=4,-2,Q5=0.5,1,Q5=0.25,2,Q5=0,4)</f>
        <v>0</v>
      </c>
    </row>
    <row r="6" spans="1:36" x14ac:dyDescent="0.2">
      <c r="A6" s="21" t="s">
        <v>0</v>
      </c>
      <c r="B6" s="22" t="s">
        <v>96</v>
      </c>
      <c r="C6" s="24">
        <f>INDEX(Output!$B$3:$P$17,MATCH('Defensive Summary'!C$1,Output!$A$3:$A$17,0),MATCH('Defensive Summary'!$A6,Output!$B$2:$P$2,0))*INDEX(Output!$B$3:$P$17,MATCH('Defensive Summary'!C$1,Output!$A$3:$A$17,0),MATCH('Defensive Summary'!$B6,Output!$B$2:$P$2,0))</f>
        <v>0.5</v>
      </c>
      <c r="D6" s="24">
        <f>INDEX(Output!$B$3:$P$17,MATCH('Defensive Summary'!D$1,Output!$A$3:$A$17,0),MATCH('Defensive Summary'!$A6,Output!$B$2:$P$2,0))*INDEX(Output!$B$3:$P$17,MATCH('Defensive Summary'!D$1,Output!$A$3:$A$17,0),MATCH('Defensive Summary'!$B6,Output!$B$2:$P$2,0))</f>
        <v>2</v>
      </c>
      <c r="E6" s="24">
        <f>INDEX(Output!$B$3:$P$17,MATCH('Defensive Summary'!E$1,Output!$A$3:$A$17,0),MATCH('Defensive Summary'!$A6,Output!$B$2:$P$2,0))*INDEX(Output!$B$3:$P$17,MATCH('Defensive Summary'!E$1,Output!$A$3:$A$17,0),MATCH('Defensive Summary'!$B6,Output!$B$2:$P$2,0))</f>
        <v>0.5</v>
      </c>
      <c r="F6" s="24">
        <f>INDEX(Output!$B$3:$P$17,MATCH('Defensive Summary'!F$1,Output!$A$3:$A$17,0),MATCH('Defensive Summary'!$A6,Output!$B$2:$P$2,0))*INDEX(Output!$B$3:$P$17,MATCH('Defensive Summary'!F$1,Output!$A$3:$A$17,0),MATCH('Defensive Summary'!$B6,Output!$B$2:$P$2,0))</f>
        <v>4</v>
      </c>
      <c r="G6" s="24">
        <f>INDEX(Output!$B$3:$P$17,MATCH('Defensive Summary'!G$1,Output!$A$3:$A$17,0),MATCH('Defensive Summary'!$A6,Output!$B$2:$P$2,0))*INDEX(Output!$B$3:$P$17,MATCH('Defensive Summary'!G$1,Output!$A$3:$A$17,0),MATCH('Defensive Summary'!$B6,Output!$B$2:$P$2,0))</f>
        <v>2</v>
      </c>
      <c r="H6" s="24">
        <f>INDEX(Output!$B$3:$P$17,MATCH('Defensive Summary'!H$1,Output!$A$3:$A$17,0),MATCH('Defensive Summary'!$A6,Output!$B$2:$P$2,0))*INDEX(Output!$B$3:$P$17,MATCH('Defensive Summary'!H$1,Output!$A$3:$A$17,0),MATCH('Defensive Summary'!$B6,Output!$B$2:$P$2,0))</f>
        <v>0.5</v>
      </c>
      <c r="I6" s="24">
        <f>INDEX(Output!$B$3:$P$17,MATCH('Defensive Summary'!I$1,Output!$A$3:$A$17,0),MATCH('Defensive Summary'!$A6,Output!$B$2:$P$2,0))*INDEX(Output!$B$3:$P$17,MATCH('Defensive Summary'!I$1,Output!$A$3:$A$17,0),MATCH('Defensive Summary'!$B6,Output!$B$2:$P$2,0))</f>
        <v>0.25</v>
      </c>
      <c r="J6" s="24">
        <f>INDEX(Output!$B$3:$P$17,MATCH('Defensive Summary'!J$1,Output!$A$3:$A$17,0),MATCH('Defensive Summary'!$A6,Output!$B$2:$P$2,0))*INDEX(Output!$B$3:$P$17,MATCH('Defensive Summary'!J$1,Output!$A$3:$A$17,0),MATCH('Defensive Summary'!$B6,Output!$B$2:$P$2,0))</f>
        <v>4</v>
      </c>
      <c r="K6" s="24">
        <f>INDEX(Output!$B$3:$P$17,MATCH('Defensive Summary'!K$1,Output!$A$3:$A$17,0),MATCH('Defensive Summary'!$A6,Output!$B$2:$P$2,0))*INDEX(Output!$B$3:$P$17,MATCH('Defensive Summary'!K$1,Output!$A$3:$A$17,0),MATCH('Defensive Summary'!$B6,Output!$B$2:$P$2,0))</f>
        <v>0.5</v>
      </c>
      <c r="L6" s="24">
        <f>INDEX(Output!$B$3:$P$17,MATCH('Defensive Summary'!L$1,Output!$A$3:$A$17,0),MATCH('Defensive Summary'!$A6,Output!$B$2:$P$2,0))*INDEX(Output!$B$3:$P$17,MATCH('Defensive Summary'!L$1,Output!$A$3:$A$17,0),MATCH('Defensive Summary'!$B6,Output!$B$2:$P$2,0))</f>
        <v>1</v>
      </c>
      <c r="M6" s="24">
        <f>INDEX(Output!$B$3:$P$17,MATCH('Defensive Summary'!M$1,Output!$A$3:$A$17,0),MATCH('Defensive Summary'!$A6,Output!$B$2:$P$2,0))*INDEX(Output!$B$3:$P$17,MATCH('Defensive Summary'!M$1,Output!$A$3:$A$17,0),MATCH('Defensive Summary'!$B6,Output!$B$2:$P$2,0))</f>
        <v>1</v>
      </c>
      <c r="N6" s="24">
        <f>INDEX(Output!$B$3:$P$17,MATCH('Defensive Summary'!N$1,Output!$A$3:$A$17,0),MATCH('Defensive Summary'!$A6,Output!$B$2:$P$2,0))*INDEX(Output!$B$3:$P$17,MATCH('Defensive Summary'!N$1,Output!$A$3:$A$17,0),MATCH('Defensive Summary'!$B6,Output!$B$2:$P$2,0))</f>
        <v>1</v>
      </c>
      <c r="O6" s="24">
        <f>INDEX(Output!$B$3:$P$17,MATCH('Defensive Summary'!O$1,Output!$A$3:$A$17,0),MATCH('Defensive Summary'!$A6,Output!$B$2:$P$2,0))*INDEX(Output!$B$3:$P$17,MATCH('Defensive Summary'!O$1,Output!$A$3:$A$17,0),MATCH('Defensive Summary'!$B6,Output!$B$2:$P$2,0))</f>
        <v>1</v>
      </c>
      <c r="P6" s="24">
        <f>INDEX(Output!$B$3:$P$17,MATCH('Defensive Summary'!P$1,Output!$A$3:$A$17,0),MATCH('Defensive Summary'!$A6,Output!$B$2:$P$2,0))*INDEX(Output!$B$3:$P$17,MATCH('Defensive Summary'!P$1,Output!$A$3:$A$17,0),MATCH('Defensive Summary'!$B6,Output!$B$2:$P$2,0))</f>
        <v>1</v>
      </c>
      <c r="Q6" s="24">
        <f>INDEX(Output!$B$3:$P$17,MATCH('Defensive Summary'!Q$1,Output!$A$3:$A$17,0),MATCH('Defensive Summary'!$A6,Output!$B$2:$P$2,0))*INDEX(Output!$B$3:$P$17,MATCH('Defensive Summary'!Q$1,Output!$A$3:$A$17,0),MATCH('Defensive Summary'!$B6,Output!$B$2:$P$2,0))</f>
        <v>1</v>
      </c>
      <c r="R6" s="24"/>
      <c r="S6" s="25">
        <f t="shared" si="0"/>
        <v>0</v>
      </c>
      <c r="T6" s="21" t="s">
        <v>0</v>
      </c>
      <c r="U6" s="22" t="s">
        <v>96</v>
      </c>
      <c r="V6" s="24" cm="1">
        <f t="array" ref="V6">_xlfn.IFS(C6=1,0,C6=2,-1,C6=4,-2,C6=0.5,1,C6=0.25,2,C6=0,4)</f>
        <v>1</v>
      </c>
      <c r="W6" s="24" cm="1">
        <f t="array" ref="W6">_xlfn.IFS(D6=1,0,D6=2,-1,D6=4,-2,D6=0.5,1,D6=0.25,2,D6=0,4)</f>
        <v>-1</v>
      </c>
      <c r="X6" s="24" cm="1">
        <f t="array" ref="X6">_xlfn.IFS(E6=1,0,E6=2,-1,E6=4,-2,E6=0.5,1,E6=0.25,2,E6=0,4)</f>
        <v>1</v>
      </c>
      <c r="Y6" s="24" cm="1">
        <f t="array" ref="Y6">_xlfn.IFS(F6=1,0,F6=2,-1,F6=4,-2,F6=0.5,1,F6=0.25,2,F6=0,4)</f>
        <v>-2</v>
      </c>
      <c r="Z6" s="24" cm="1">
        <f t="array" ref="Z6">_xlfn.IFS(G6=1,0,G6=2,-1,G6=4,-2,G6=0.5,1,G6=0.25,2,G6=0,4)</f>
        <v>-1</v>
      </c>
      <c r="AA6" s="24" cm="1">
        <f t="array" ref="AA6">_xlfn.IFS(H6=1,0,H6=2,-1,H6=4,-2,H6=0.5,1,H6=0.25,2,H6=0,4)</f>
        <v>1</v>
      </c>
      <c r="AB6" s="24" cm="1">
        <f t="array" ref="AB6">_xlfn.IFS(I6=1,0,I6=2,-1,I6=4,-2,I6=0.5,1,I6=0.25,2,I6=0,4)</f>
        <v>2</v>
      </c>
      <c r="AC6" s="24" cm="1">
        <f t="array" ref="AC6">_xlfn.IFS(J6=1,0,J6=2,-1,J6=4,-2,J6=0.5,1,J6=0.25,2,J6=0,4)</f>
        <v>-2</v>
      </c>
      <c r="AD6" s="24" cm="1">
        <f t="array" ref="AD6">_xlfn.IFS(K6=1,0,K6=2,-1,K6=4,-2,K6=0.5,1,K6=0.25,2,K6=0,4)</f>
        <v>1</v>
      </c>
      <c r="AE6" s="24" cm="1">
        <f t="array" ref="AE6">_xlfn.IFS(L6=1,0,L6=2,-1,L6=4,-2,L6=0.5,1,L6=0.25,2,L6=0,4)</f>
        <v>0</v>
      </c>
      <c r="AF6" s="24" cm="1">
        <f t="array" ref="AF6">_xlfn.IFS(M6=1,0,M6=2,-1,M6=4,-2,M6=0.5,1,M6=0.25,2,M6=0,4)</f>
        <v>0</v>
      </c>
      <c r="AG6" s="24" cm="1">
        <f t="array" ref="AG6">_xlfn.IFS(N6=1,0,N6=2,-1,N6=4,-2,N6=0.5,1,N6=0.25,2,N6=0,4)</f>
        <v>0</v>
      </c>
      <c r="AH6" s="24" cm="1">
        <f t="array" ref="AH6">_xlfn.IFS(O6=1,0,O6=2,-1,O6=4,-2,O6=0.5,1,O6=0.25,2,O6=0,4)</f>
        <v>0</v>
      </c>
      <c r="AI6" s="24" cm="1">
        <f t="array" ref="AI6">_xlfn.IFS(P6=1,0,P6=2,-1,P6=4,-2,P6=0.5,1,P6=0.25,2,P6=0,4)</f>
        <v>0</v>
      </c>
      <c r="AJ6" s="24" cm="1">
        <f t="array" ref="AJ6">_xlfn.IFS(Q6=1,0,Q6=2,-1,Q6=4,-2,Q6=0.5,1,Q6=0.25,2,Q6=0,4)</f>
        <v>0</v>
      </c>
    </row>
    <row r="7" spans="1:36" x14ac:dyDescent="0.2">
      <c r="A7" s="21" t="s">
        <v>0</v>
      </c>
      <c r="B7" s="22" t="s">
        <v>6</v>
      </c>
      <c r="C7" s="24">
        <f>INDEX(Output!$B$3:$P$17,MATCH('Defensive Summary'!C$1,Output!$A$3:$A$17,0),MATCH('Defensive Summary'!$A7,Output!$B$2:$P$2,0))*INDEX(Output!$B$3:$P$17,MATCH('Defensive Summary'!C$1,Output!$A$3:$A$17,0),MATCH('Defensive Summary'!$B7,Output!$B$2:$P$2,0))</f>
        <v>1</v>
      </c>
      <c r="D7" s="24">
        <f>INDEX(Output!$B$3:$P$17,MATCH('Defensive Summary'!D$1,Output!$A$3:$A$17,0),MATCH('Defensive Summary'!$A7,Output!$B$2:$P$2,0))*INDEX(Output!$B$3:$P$17,MATCH('Defensive Summary'!D$1,Output!$A$3:$A$17,0),MATCH('Defensive Summary'!$B7,Output!$B$2:$P$2,0))</f>
        <v>1</v>
      </c>
      <c r="E7" s="24">
        <f>INDEX(Output!$B$3:$P$17,MATCH('Defensive Summary'!E$1,Output!$A$3:$A$17,0),MATCH('Defensive Summary'!$A7,Output!$B$2:$P$2,0))*INDEX(Output!$B$3:$P$17,MATCH('Defensive Summary'!E$1,Output!$A$3:$A$17,0),MATCH('Defensive Summary'!$B7,Output!$B$2:$P$2,0))</f>
        <v>0.25</v>
      </c>
      <c r="F7" s="24">
        <f>INDEX(Output!$B$3:$P$17,MATCH('Defensive Summary'!F$1,Output!$A$3:$A$17,0),MATCH('Defensive Summary'!$A7,Output!$B$2:$P$2,0))*INDEX(Output!$B$3:$P$17,MATCH('Defensive Summary'!F$1,Output!$A$3:$A$17,0),MATCH('Defensive Summary'!$B7,Output!$B$2:$P$2,0))</f>
        <v>1</v>
      </c>
      <c r="G7" s="24">
        <f>INDEX(Output!$B$3:$P$17,MATCH('Defensive Summary'!G$1,Output!$A$3:$A$17,0),MATCH('Defensive Summary'!$A7,Output!$B$2:$P$2,0))*INDEX(Output!$B$3:$P$17,MATCH('Defensive Summary'!G$1,Output!$A$3:$A$17,0),MATCH('Defensive Summary'!$B7,Output!$B$2:$P$2,0))</f>
        <v>4</v>
      </c>
      <c r="H7" s="24">
        <f>INDEX(Output!$B$3:$P$17,MATCH('Defensive Summary'!H$1,Output!$A$3:$A$17,0),MATCH('Defensive Summary'!$A7,Output!$B$2:$P$2,0))*INDEX(Output!$B$3:$P$17,MATCH('Defensive Summary'!H$1,Output!$A$3:$A$17,0),MATCH('Defensive Summary'!$B7,Output!$B$2:$P$2,0))</f>
        <v>0.5</v>
      </c>
      <c r="I7" s="24">
        <f>INDEX(Output!$B$3:$P$17,MATCH('Defensive Summary'!I$1,Output!$A$3:$A$17,0),MATCH('Defensive Summary'!$A7,Output!$B$2:$P$2,0))*INDEX(Output!$B$3:$P$17,MATCH('Defensive Summary'!I$1,Output!$A$3:$A$17,0),MATCH('Defensive Summary'!$B7,Output!$B$2:$P$2,0))</f>
        <v>0.25</v>
      </c>
      <c r="J7" s="24">
        <f>INDEX(Output!$B$3:$P$17,MATCH('Defensive Summary'!J$1,Output!$A$3:$A$17,0),MATCH('Defensive Summary'!$A7,Output!$B$2:$P$2,0))*INDEX(Output!$B$3:$P$17,MATCH('Defensive Summary'!J$1,Output!$A$3:$A$17,0),MATCH('Defensive Summary'!$B7,Output!$B$2:$P$2,0))</f>
        <v>2</v>
      </c>
      <c r="K7" s="24">
        <f>INDEX(Output!$B$3:$P$17,MATCH('Defensive Summary'!K$1,Output!$A$3:$A$17,0),MATCH('Defensive Summary'!$A7,Output!$B$2:$P$2,0))*INDEX(Output!$B$3:$P$17,MATCH('Defensive Summary'!K$1,Output!$A$3:$A$17,0),MATCH('Defensive Summary'!$B7,Output!$B$2:$P$2,0))</f>
        <v>1</v>
      </c>
      <c r="L7" s="24">
        <f>INDEX(Output!$B$3:$P$17,MATCH('Defensive Summary'!L$1,Output!$A$3:$A$17,0),MATCH('Defensive Summary'!$A7,Output!$B$2:$P$2,0))*INDEX(Output!$B$3:$P$17,MATCH('Defensive Summary'!L$1,Output!$A$3:$A$17,0),MATCH('Defensive Summary'!$B7,Output!$B$2:$P$2,0))</f>
        <v>0.5</v>
      </c>
      <c r="M7" s="24">
        <f>INDEX(Output!$B$3:$P$17,MATCH('Defensive Summary'!M$1,Output!$A$3:$A$17,0),MATCH('Defensive Summary'!$A7,Output!$B$2:$P$2,0))*INDEX(Output!$B$3:$P$17,MATCH('Defensive Summary'!M$1,Output!$A$3:$A$17,0),MATCH('Defensive Summary'!$B7,Output!$B$2:$P$2,0))</f>
        <v>1</v>
      </c>
      <c r="N7" s="24">
        <f>INDEX(Output!$B$3:$P$17,MATCH('Defensive Summary'!N$1,Output!$A$3:$A$17,0),MATCH('Defensive Summary'!$A7,Output!$B$2:$P$2,0))*INDEX(Output!$B$3:$P$17,MATCH('Defensive Summary'!N$1,Output!$A$3:$A$17,0),MATCH('Defensive Summary'!$B7,Output!$B$2:$P$2,0))</f>
        <v>1</v>
      </c>
      <c r="O7" s="24">
        <f>INDEX(Output!$B$3:$P$17,MATCH('Defensive Summary'!O$1,Output!$A$3:$A$17,0),MATCH('Defensive Summary'!$A7,Output!$B$2:$P$2,0))*INDEX(Output!$B$3:$P$17,MATCH('Defensive Summary'!O$1,Output!$A$3:$A$17,0),MATCH('Defensive Summary'!$B7,Output!$B$2:$P$2,0))</f>
        <v>1</v>
      </c>
      <c r="P7" s="24">
        <f>INDEX(Output!$B$3:$P$17,MATCH('Defensive Summary'!P$1,Output!$A$3:$A$17,0),MATCH('Defensive Summary'!$A7,Output!$B$2:$P$2,0))*INDEX(Output!$B$3:$P$17,MATCH('Defensive Summary'!P$1,Output!$A$3:$A$17,0),MATCH('Defensive Summary'!$B7,Output!$B$2:$P$2,0))</f>
        <v>0.5</v>
      </c>
      <c r="Q7" s="24">
        <f>INDEX(Output!$B$3:$P$17,MATCH('Defensive Summary'!Q$1,Output!$A$3:$A$17,0),MATCH('Defensive Summary'!$A7,Output!$B$2:$P$2,0))*INDEX(Output!$B$3:$P$17,MATCH('Defensive Summary'!Q$1,Output!$A$3:$A$17,0),MATCH('Defensive Summary'!$B7,Output!$B$2:$P$2,0))</f>
        <v>1</v>
      </c>
      <c r="R7" s="24"/>
      <c r="S7" s="25">
        <f t="shared" si="0"/>
        <v>4</v>
      </c>
      <c r="T7" s="21" t="s">
        <v>0</v>
      </c>
      <c r="U7" s="22" t="s">
        <v>6</v>
      </c>
      <c r="V7" s="24" cm="1">
        <f t="array" ref="V7">_xlfn.IFS(C7=1,0,C7=2,-1,C7=4,-2,C7=0.5,1,C7=0.25,2,C7=0,4)</f>
        <v>0</v>
      </c>
      <c r="W7" s="24" cm="1">
        <f t="array" ref="W7">_xlfn.IFS(D7=1,0,D7=2,-1,D7=4,-2,D7=0.5,1,D7=0.25,2,D7=0,4)</f>
        <v>0</v>
      </c>
      <c r="X7" s="24" cm="1">
        <f t="array" ref="X7">_xlfn.IFS(E7=1,0,E7=2,-1,E7=4,-2,E7=0.5,1,E7=0.25,2,E7=0,4)</f>
        <v>2</v>
      </c>
      <c r="Y7" s="24" cm="1">
        <f t="array" ref="Y7">_xlfn.IFS(F7=1,0,F7=2,-1,F7=4,-2,F7=0.5,1,F7=0.25,2,F7=0,4)</f>
        <v>0</v>
      </c>
      <c r="Z7" s="24" cm="1">
        <f t="array" ref="Z7">_xlfn.IFS(G7=1,0,G7=2,-1,G7=4,-2,G7=0.5,1,G7=0.25,2,G7=0,4)</f>
        <v>-2</v>
      </c>
      <c r="AA7" s="24" cm="1">
        <f t="array" ref="AA7">_xlfn.IFS(H7=1,0,H7=2,-1,H7=4,-2,H7=0.5,1,H7=0.25,2,H7=0,4)</f>
        <v>1</v>
      </c>
      <c r="AB7" s="24" cm="1">
        <f t="array" ref="AB7">_xlfn.IFS(I7=1,0,I7=2,-1,I7=4,-2,I7=0.5,1,I7=0.25,2,I7=0,4)</f>
        <v>2</v>
      </c>
      <c r="AC7" s="24" cm="1">
        <f t="array" ref="AC7">_xlfn.IFS(J7=1,0,J7=2,-1,J7=4,-2,J7=0.5,1,J7=0.25,2,J7=0,4)</f>
        <v>-1</v>
      </c>
      <c r="AD7" s="24" cm="1">
        <f t="array" ref="AD7">_xlfn.IFS(K7=1,0,K7=2,-1,K7=4,-2,K7=0.5,1,K7=0.25,2,K7=0,4)</f>
        <v>0</v>
      </c>
      <c r="AE7" s="24" cm="1">
        <f t="array" ref="AE7">_xlfn.IFS(L7=1,0,L7=2,-1,L7=4,-2,L7=0.5,1,L7=0.25,2,L7=0,4)</f>
        <v>1</v>
      </c>
      <c r="AF7" s="24" cm="1">
        <f t="array" ref="AF7">_xlfn.IFS(M7=1,0,M7=2,-1,M7=4,-2,M7=0.5,1,M7=0.25,2,M7=0,4)</f>
        <v>0</v>
      </c>
      <c r="AG7" s="24" cm="1">
        <f t="array" ref="AG7">_xlfn.IFS(N7=1,0,N7=2,-1,N7=4,-2,N7=0.5,1,N7=0.25,2,N7=0,4)</f>
        <v>0</v>
      </c>
      <c r="AH7" s="24" cm="1">
        <f t="array" ref="AH7">_xlfn.IFS(O7=1,0,O7=2,-1,O7=4,-2,O7=0.5,1,O7=0.25,2,O7=0,4)</f>
        <v>0</v>
      </c>
      <c r="AI7" s="24" cm="1">
        <f t="array" ref="AI7">_xlfn.IFS(P7=1,0,P7=2,-1,P7=4,-2,P7=0.5,1,P7=0.25,2,P7=0,4)</f>
        <v>1</v>
      </c>
      <c r="AJ7" s="24" cm="1">
        <f t="array" ref="AJ7">_xlfn.IFS(Q7=1,0,Q7=2,-1,Q7=4,-2,Q7=0.5,1,Q7=0.25,2,Q7=0,4)</f>
        <v>0</v>
      </c>
    </row>
    <row r="8" spans="1:36" x14ac:dyDescent="0.2">
      <c r="A8" s="21" t="s">
        <v>0</v>
      </c>
      <c r="B8" s="22" t="s">
        <v>7</v>
      </c>
      <c r="C8" s="24">
        <f>INDEX(Output!$B$3:$P$17,MATCH('Defensive Summary'!C$1,Output!$A$3:$A$17,0),MATCH('Defensive Summary'!$A8,Output!$B$2:$P$2,0))*INDEX(Output!$B$3:$P$17,MATCH('Defensive Summary'!C$1,Output!$A$3:$A$17,0),MATCH('Defensive Summary'!$B8,Output!$B$2:$P$2,0))</f>
        <v>0.5</v>
      </c>
      <c r="D8" s="24">
        <f>INDEX(Output!$B$3:$P$17,MATCH('Defensive Summary'!D$1,Output!$A$3:$A$17,0),MATCH('Defensive Summary'!$A8,Output!$B$2:$P$2,0))*INDEX(Output!$B$3:$P$17,MATCH('Defensive Summary'!D$1,Output!$A$3:$A$17,0),MATCH('Defensive Summary'!$B8,Output!$B$2:$P$2,0))</f>
        <v>2</v>
      </c>
      <c r="E8" s="24">
        <f>INDEX(Output!$B$3:$P$17,MATCH('Defensive Summary'!E$1,Output!$A$3:$A$17,0),MATCH('Defensive Summary'!$A8,Output!$B$2:$P$2,0))*INDEX(Output!$B$3:$P$17,MATCH('Defensive Summary'!E$1,Output!$A$3:$A$17,0),MATCH('Defensive Summary'!$B8,Output!$B$2:$P$2,0))</f>
        <v>0.5</v>
      </c>
      <c r="F8" s="24">
        <f>INDEX(Output!$B$3:$P$17,MATCH('Defensive Summary'!F$1,Output!$A$3:$A$17,0),MATCH('Defensive Summary'!$A8,Output!$B$2:$P$2,0))*INDEX(Output!$B$3:$P$17,MATCH('Defensive Summary'!F$1,Output!$A$3:$A$17,0),MATCH('Defensive Summary'!$B8,Output!$B$2:$P$2,0))</f>
        <v>1</v>
      </c>
      <c r="G8" s="24">
        <f>INDEX(Output!$B$3:$P$17,MATCH('Defensive Summary'!G$1,Output!$A$3:$A$17,0),MATCH('Defensive Summary'!$A8,Output!$B$2:$P$2,0))*INDEX(Output!$B$3:$P$17,MATCH('Defensive Summary'!G$1,Output!$A$3:$A$17,0),MATCH('Defensive Summary'!$B8,Output!$B$2:$P$2,0))</f>
        <v>2</v>
      </c>
      <c r="H8" s="24">
        <f>INDEX(Output!$B$3:$P$17,MATCH('Defensive Summary'!H$1,Output!$A$3:$A$17,0),MATCH('Defensive Summary'!$A8,Output!$B$2:$P$2,0))*INDEX(Output!$B$3:$P$17,MATCH('Defensive Summary'!H$1,Output!$A$3:$A$17,0),MATCH('Defensive Summary'!$B8,Output!$B$2:$P$2,0))</f>
        <v>0.5</v>
      </c>
      <c r="I8" s="24">
        <f>INDEX(Output!$B$3:$P$17,MATCH('Defensive Summary'!I$1,Output!$A$3:$A$17,0),MATCH('Defensive Summary'!$A8,Output!$B$2:$P$2,0))*INDEX(Output!$B$3:$P$17,MATCH('Defensive Summary'!I$1,Output!$A$3:$A$17,0),MATCH('Defensive Summary'!$B8,Output!$B$2:$P$2,0))</f>
        <v>0.5</v>
      </c>
      <c r="J8" s="24">
        <f>INDEX(Output!$B$3:$P$17,MATCH('Defensive Summary'!J$1,Output!$A$3:$A$17,0),MATCH('Defensive Summary'!$A8,Output!$B$2:$P$2,0))*INDEX(Output!$B$3:$P$17,MATCH('Defensive Summary'!J$1,Output!$A$3:$A$17,0),MATCH('Defensive Summary'!$B8,Output!$B$2:$P$2,0))</f>
        <v>2</v>
      </c>
      <c r="K8" s="24">
        <f>INDEX(Output!$B$3:$P$17,MATCH('Defensive Summary'!K$1,Output!$A$3:$A$17,0),MATCH('Defensive Summary'!$A8,Output!$B$2:$P$2,0))*INDEX(Output!$B$3:$P$17,MATCH('Defensive Summary'!K$1,Output!$A$3:$A$17,0),MATCH('Defensive Summary'!$B8,Output!$B$2:$P$2,0))</f>
        <v>2</v>
      </c>
      <c r="L8" s="24">
        <f>INDEX(Output!$B$3:$P$17,MATCH('Defensive Summary'!L$1,Output!$A$3:$A$17,0),MATCH('Defensive Summary'!$A8,Output!$B$2:$P$2,0))*INDEX(Output!$B$3:$P$17,MATCH('Defensive Summary'!L$1,Output!$A$3:$A$17,0),MATCH('Defensive Summary'!$B8,Output!$B$2:$P$2,0))</f>
        <v>0.25</v>
      </c>
      <c r="M8" s="24">
        <f>INDEX(Output!$B$3:$P$17,MATCH('Defensive Summary'!M$1,Output!$A$3:$A$17,0),MATCH('Defensive Summary'!$A8,Output!$B$2:$P$2,0))*INDEX(Output!$B$3:$P$17,MATCH('Defensive Summary'!M$1,Output!$A$3:$A$17,0),MATCH('Defensive Summary'!$B8,Output!$B$2:$P$2,0))</f>
        <v>0</v>
      </c>
      <c r="N8" s="24">
        <f>INDEX(Output!$B$3:$P$17,MATCH('Defensive Summary'!N$1,Output!$A$3:$A$17,0),MATCH('Defensive Summary'!$A8,Output!$B$2:$P$2,0))*INDEX(Output!$B$3:$P$17,MATCH('Defensive Summary'!N$1,Output!$A$3:$A$17,0),MATCH('Defensive Summary'!$B8,Output!$B$2:$P$2,0))</f>
        <v>2</v>
      </c>
      <c r="O8" s="24">
        <f>INDEX(Output!$B$3:$P$17,MATCH('Defensive Summary'!O$1,Output!$A$3:$A$17,0),MATCH('Defensive Summary'!$A8,Output!$B$2:$P$2,0))*INDEX(Output!$B$3:$P$17,MATCH('Defensive Summary'!O$1,Output!$A$3:$A$17,0),MATCH('Defensive Summary'!$B8,Output!$B$2:$P$2,0))</f>
        <v>2</v>
      </c>
      <c r="P8" s="24">
        <f>INDEX(Output!$B$3:$P$17,MATCH('Defensive Summary'!P$1,Output!$A$3:$A$17,0),MATCH('Defensive Summary'!$A8,Output!$B$2:$P$2,0))*INDEX(Output!$B$3:$P$17,MATCH('Defensive Summary'!P$1,Output!$A$3:$A$17,0),MATCH('Defensive Summary'!$B8,Output!$B$2:$P$2,0))</f>
        <v>2</v>
      </c>
      <c r="Q8" s="24">
        <f>INDEX(Output!$B$3:$P$17,MATCH('Defensive Summary'!Q$1,Output!$A$3:$A$17,0),MATCH('Defensive Summary'!$A8,Output!$B$2:$P$2,0))*INDEX(Output!$B$3:$P$17,MATCH('Defensive Summary'!Q$1,Output!$A$3:$A$17,0),MATCH('Defensive Summary'!$B8,Output!$B$2:$P$2,0))</f>
        <v>1</v>
      </c>
      <c r="R8" s="24"/>
      <c r="S8" s="25">
        <f t="shared" si="0"/>
        <v>3</v>
      </c>
      <c r="T8" s="21" t="s">
        <v>0</v>
      </c>
      <c r="U8" s="22" t="s">
        <v>7</v>
      </c>
      <c r="V8" s="24" cm="1">
        <f t="array" ref="V8">_xlfn.IFS(C8=1,0,C8=2,-1,C8=4,-2,C8=0.5,1,C8=0.25,2,C8=0,4)</f>
        <v>1</v>
      </c>
      <c r="W8" s="24" cm="1">
        <f t="array" ref="W8">_xlfn.IFS(D8=1,0,D8=2,-1,D8=4,-2,D8=0.5,1,D8=0.25,2,D8=0,4)</f>
        <v>-1</v>
      </c>
      <c r="X8" s="24" cm="1">
        <f t="array" ref="X8">_xlfn.IFS(E8=1,0,E8=2,-1,E8=4,-2,E8=0.5,1,E8=0.25,2,E8=0,4)</f>
        <v>1</v>
      </c>
      <c r="Y8" s="24" cm="1">
        <f t="array" ref="Y8">_xlfn.IFS(F8=1,0,F8=2,-1,F8=4,-2,F8=0.5,1,F8=0.25,2,F8=0,4)</f>
        <v>0</v>
      </c>
      <c r="Z8" s="24" cm="1">
        <f t="array" ref="Z8">_xlfn.IFS(G8=1,0,G8=2,-1,G8=4,-2,G8=0.5,1,G8=0.25,2,G8=0,4)</f>
        <v>-1</v>
      </c>
      <c r="AA8" s="24" cm="1">
        <f t="array" ref="AA8">_xlfn.IFS(H8=1,0,H8=2,-1,H8=4,-2,H8=0.5,1,H8=0.25,2,H8=0,4)</f>
        <v>1</v>
      </c>
      <c r="AB8" s="24" cm="1">
        <f t="array" ref="AB8">_xlfn.IFS(I8=1,0,I8=2,-1,I8=4,-2,I8=0.5,1,I8=0.25,2,I8=0,4)</f>
        <v>1</v>
      </c>
      <c r="AC8" s="24" cm="1">
        <f t="array" ref="AC8">_xlfn.IFS(J8=1,0,J8=2,-1,J8=4,-2,J8=0.5,1,J8=0.25,2,J8=0,4)</f>
        <v>-1</v>
      </c>
      <c r="AD8" s="24" cm="1">
        <f t="array" ref="AD8">_xlfn.IFS(K8=1,0,K8=2,-1,K8=4,-2,K8=0.5,1,K8=0.25,2,K8=0,4)</f>
        <v>-1</v>
      </c>
      <c r="AE8" s="24" cm="1">
        <f t="array" ref="AE8">_xlfn.IFS(L8=1,0,L8=2,-1,L8=4,-2,L8=0.5,1,L8=0.25,2,L8=0,4)</f>
        <v>2</v>
      </c>
      <c r="AF8" s="24" cm="1">
        <f t="array" ref="AF8">_xlfn.IFS(M8=1,0,M8=2,-1,M8=4,-2,M8=0.5,1,M8=0.25,2,M8=0,4)</f>
        <v>4</v>
      </c>
      <c r="AG8" s="24" cm="1">
        <f t="array" ref="AG8">_xlfn.IFS(N8=1,0,N8=2,-1,N8=4,-2,N8=0.5,1,N8=0.25,2,N8=0,4)</f>
        <v>-1</v>
      </c>
      <c r="AH8" s="24" cm="1">
        <f t="array" ref="AH8">_xlfn.IFS(O8=1,0,O8=2,-1,O8=4,-2,O8=0.5,1,O8=0.25,2,O8=0,4)</f>
        <v>-1</v>
      </c>
      <c r="AI8" s="24" cm="1">
        <f t="array" ref="AI8">_xlfn.IFS(P8=1,0,P8=2,-1,P8=4,-2,P8=0.5,1,P8=0.25,2,P8=0,4)</f>
        <v>-1</v>
      </c>
      <c r="AJ8" s="24" cm="1">
        <f t="array" ref="AJ8">_xlfn.IFS(Q8=1,0,Q8=2,-1,Q8=4,-2,Q8=0.5,1,Q8=0.25,2,Q8=0,4)</f>
        <v>0</v>
      </c>
    </row>
    <row r="9" spans="1:36" x14ac:dyDescent="0.2">
      <c r="A9" s="21" t="s">
        <v>0</v>
      </c>
      <c r="B9" s="22" t="s">
        <v>8</v>
      </c>
      <c r="C9" s="24">
        <f>INDEX(Output!$B$3:$P$17,MATCH('Defensive Summary'!C$1,Output!$A$3:$A$17,0),MATCH('Defensive Summary'!$A9,Output!$B$2:$P$2,0))*INDEX(Output!$B$3:$P$17,MATCH('Defensive Summary'!C$1,Output!$A$3:$A$17,0),MATCH('Defensive Summary'!$B9,Output!$B$2:$P$2,0))</f>
        <v>0.25</v>
      </c>
      <c r="D9" s="24">
        <f>INDEX(Output!$B$3:$P$17,MATCH('Defensive Summary'!D$1,Output!$A$3:$A$17,0),MATCH('Defensive Summary'!$A9,Output!$B$2:$P$2,0))*INDEX(Output!$B$3:$P$17,MATCH('Defensive Summary'!D$1,Output!$A$3:$A$17,0),MATCH('Defensive Summary'!$B9,Output!$B$2:$P$2,0))</f>
        <v>1</v>
      </c>
      <c r="E9" s="24">
        <f>INDEX(Output!$B$3:$P$17,MATCH('Defensive Summary'!E$1,Output!$A$3:$A$17,0),MATCH('Defensive Summary'!$A9,Output!$B$2:$P$2,0))*INDEX(Output!$B$3:$P$17,MATCH('Defensive Summary'!E$1,Output!$A$3:$A$17,0),MATCH('Defensive Summary'!$B9,Output!$B$2:$P$2,0))</f>
        <v>0.5</v>
      </c>
      <c r="F9" s="24">
        <f>INDEX(Output!$B$3:$P$17,MATCH('Defensive Summary'!F$1,Output!$A$3:$A$17,0),MATCH('Defensive Summary'!$A9,Output!$B$2:$P$2,0))*INDEX(Output!$B$3:$P$17,MATCH('Defensive Summary'!F$1,Output!$A$3:$A$17,0),MATCH('Defensive Summary'!$B9,Output!$B$2:$P$2,0))</f>
        <v>1</v>
      </c>
      <c r="G9" s="24">
        <f>INDEX(Output!$B$3:$P$17,MATCH('Defensive Summary'!G$1,Output!$A$3:$A$17,0),MATCH('Defensive Summary'!$A9,Output!$B$2:$P$2,0))*INDEX(Output!$B$3:$P$17,MATCH('Defensive Summary'!G$1,Output!$A$3:$A$17,0),MATCH('Defensive Summary'!$B9,Output!$B$2:$P$2,0))</f>
        <v>4</v>
      </c>
      <c r="H9" s="24">
        <f>INDEX(Output!$B$3:$P$17,MATCH('Defensive Summary'!H$1,Output!$A$3:$A$17,0),MATCH('Defensive Summary'!$A9,Output!$B$2:$P$2,0))*INDEX(Output!$B$3:$P$17,MATCH('Defensive Summary'!H$1,Output!$A$3:$A$17,0),MATCH('Defensive Summary'!$B9,Output!$B$2:$P$2,0))</f>
        <v>2</v>
      </c>
      <c r="I9" s="24">
        <f>INDEX(Output!$B$3:$P$17,MATCH('Defensive Summary'!I$1,Output!$A$3:$A$17,0),MATCH('Defensive Summary'!$A9,Output!$B$2:$P$2,0))*INDEX(Output!$B$3:$P$17,MATCH('Defensive Summary'!I$1,Output!$A$3:$A$17,0),MATCH('Defensive Summary'!$B9,Output!$B$2:$P$2,0))</f>
        <v>0.5</v>
      </c>
      <c r="J9" s="24">
        <f>INDEX(Output!$B$3:$P$17,MATCH('Defensive Summary'!J$1,Output!$A$3:$A$17,0),MATCH('Defensive Summary'!$A9,Output!$B$2:$P$2,0))*INDEX(Output!$B$3:$P$17,MATCH('Defensive Summary'!J$1,Output!$A$3:$A$17,0),MATCH('Defensive Summary'!$B9,Output!$B$2:$P$2,0))</f>
        <v>0</v>
      </c>
      <c r="K9" s="24">
        <f>INDEX(Output!$B$3:$P$17,MATCH('Defensive Summary'!K$1,Output!$A$3:$A$17,0),MATCH('Defensive Summary'!$A9,Output!$B$2:$P$2,0))*INDEX(Output!$B$3:$P$17,MATCH('Defensive Summary'!K$1,Output!$A$3:$A$17,0),MATCH('Defensive Summary'!$B9,Output!$B$2:$P$2,0))</f>
        <v>1</v>
      </c>
      <c r="L9" s="24">
        <f>INDEX(Output!$B$3:$P$17,MATCH('Defensive Summary'!L$1,Output!$A$3:$A$17,0),MATCH('Defensive Summary'!$A9,Output!$B$2:$P$2,0))*INDEX(Output!$B$3:$P$17,MATCH('Defensive Summary'!L$1,Output!$A$3:$A$17,0),MATCH('Defensive Summary'!$B9,Output!$B$2:$P$2,0))</f>
        <v>1</v>
      </c>
      <c r="M9" s="24">
        <f>INDEX(Output!$B$3:$P$17,MATCH('Defensive Summary'!M$1,Output!$A$3:$A$17,0),MATCH('Defensive Summary'!$A9,Output!$B$2:$P$2,0))*INDEX(Output!$B$3:$P$17,MATCH('Defensive Summary'!M$1,Output!$A$3:$A$17,0),MATCH('Defensive Summary'!$B9,Output!$B$2:$P$2,0))</f>
        <v>1</v>
      </c>
      <c r="N9" s="24">
        <f>INDEX(Output!$B$3:$P$17,MATCH('Defensive Summary'!N$1,Output!$A$3:$A$17,0),MATCH('Defensive Summary'!$A9,Output!$B$2:$P$2,0))*INDEX(Output!$B$3:$P$17,MATCH('Defensive Summary'!N$1,Output!$A$3:$A$17,0),MATCH('Defensive Summary'!$B9,Output!$B$2:$P$2,0))</f>
        <v>1</v>
      </c>
      <c r="O9" s="24">
        <f>INDEX(Output!$B$3:$P$17,MATCH('Defensive Summary'!O$1,Output!$A$3:$A$17,0),MATCH('Defensive Summary'!$A9,Output!$B$2:$P$2,0))*INDEX(Output!$B$3:$P$17,MATCH('Defensive Summary'!O$1,Output!$A$3:$A$17,0),MATCH('Defensive Summary'!$B9,Output!$B$2:$P$2,0))</f>
        <v>1</v>
      </c>
      <c r="P9" s="24">
        <f>INDEX(Output!$B$3:$P$17,MATCH('Defensive Summary'!P$1,Output!$A$3:$A$17,0),MATCH('Defensive Summary'!$A9,Output!$B$2:$P$2,0))*INDEX(Output!$B$3:$P$17,MATCH('Defensive Summary'!P$1,Output!$A$3:$A$17,0),MATCH('Defensive Summary'!$B9,Output!$B$2:$P$2,0))</f>
        <v>0.5</v>
      </c>
      <c r="Q9" s="24">
        <f>INDEX(Output!$B$3:$P$17,MATCH('Defensive Summary'!Q$1,Output!$A$3:$A$17,0),MATCH('Defensive Summary'!$A9,Output!$B$2:$P$2,0))*INDEX(Output!$B$3:$P$17,MATCH('Defensive Summary'!Q$1,Output!$A$3:$A$17,0),MATCH('Defensive Summary'!$B9,Output!$B$2:$P$2,0))</f>
        <v>1</v>
      </c>
      <c r="R9" s="24"/>
      <c r="S9" s="25">
        <f t="shared" si="0"/>
        <v>6</v>
      </c>
      <c r="T9" s="21" t="s">
        <v>0</v>
      </c>
      <c r="U9" s="22" t="s">
        <v>8</v>
      </c>
      <c r="V9" s="24" cm="1">
        <f t="array" ref="V9">_xlfn.IFS(C9=1,0,C9=2,-1,C9=4,-2,C9=0.5,1,C9=0.25,2,C9=0,4)</f>
        <v>2</v>
      </c>
      <c r="W9" s="24" cm="1">
        <f t="array" ref="W9">_xlfn.IFS(D9=1,0,D9=2,-1,D9=4,-2,D9=0.5,1,D9=0.25,2,D9=0,4)</f>
        <v>0</v>
      </c>
      <c r="X9" s="24" cm="1">
        <f t="array" ref="X9">_xlfn.IFS(E9=1,0,E9=2,-1,E9=4,-2,E9=0.5,1,E9=0.25,2,E9=0,4)</f>
        <v>1</v>
      </c>
      <c r="Y9" s="24" cm="1">
        <f t="array" ref="Y9">_xlfn.IFS(F9=1,0,F9=2,-1,F9=4,-2,F9=0.5,1,F9=0.25,2,F9=0,4)</f>
        <v>0</v>
      </c>
      <c r="Z9" s="24" cm="1">
        <f t="array" ref="Z9">_xlfn.IFS(G9=1,0,G9=2,-1,G9=4,-2,G9=0.5,1,G9=0.25,2,G9=0,4)</f>
        <v>-2</v>
      </c>
      <c r="AA9" s="24" cm="1">
        <f t="array" ref="AA9">_xlfn.IFS(H9=1,0,H9=2,-1,H9=4,-2,H9=0.5,1,H9=0.25,2,H9=0,4)</f>
        <v>-1</v>
      </c>
      <c r="AB9" s="24" cm="1">
        <f t="array" ref="AB9">_xlfn.IFS(I9=1,0,I9=2,-1,I9=4,-2,I9=0.5,1,I9=0.25,2,I9=0,4)</f>
        <v>1</v>
      </c>
      <c r="AC9" s="24" cm="1">
        <f t="array" ref="AC9">_xlfn.IFS(J9=1,0,J9=2,-1,J9=4,-2,J9=0.5,1,J9=0.25,2,J9=0,4)</f>
        <v>4</v>
      </c>
      <c r="AD9" s="24" cm="1">
        <f t="array" ref="AD9">_xlfn.IFS(K9=1,0,K9=2,-1,K9=4,-2,K9=0.5,1,K9=0.25,2,K9=0,4)</f>
        <v>0</v>
      </c>
      <c r="AE9" s="24" cm="1">
        <f t="array" ref="AE9">_xlfn.IFS(L9=1,0,L9=2,-1,L9=4,-2,L9=0.5,1,L9=0.25,2,L9=0,4)</f>
        <v>0</v>
      </c>
      <c r="AF9" s="24" cm="1">
        <f t="array" ref="AF9">_xlfn.IFS(M9=1,0,M9=2,-1,M9=4,-2,M9=0.5,1,M9=0.25,2,M9=0,4)</f>
        <v>0</v>
      </c>
      <c r="AG9" s="24" cm="1">
        <f t="array" ref="AG9">_xlfn.IFS(N9=1,0,N9=2,-1,N9=4,-2,N9=0.5,1,N9=0.25,2,N9=0,4)</f>
        <v>0</v>
      </c>
      <c r="AH9" s="24" cm="1">
        <f t="array" ref="AH9">_xlfn.IFS(O9=1,0,O9=2,-1,O9=4,-2,O9=0.5,1,O9=0.25,2,O9=0,4)</f>
        <v>0</v>
      </c>
      <c r="AI9" s="24" cm="1">
        <f t="array" ref="AI9">_xlfn.IFS(P9=1,0,P9=2,-1,P9=4,-2,P9=0.5,1,P9=0.25,2,P9=0,4)</f>
        <v>1</v>
      </c>
      <c r="AJ9" s="24" cm="1">
        <f t="array" ref="AJ9">_xlfn.IFS(Q9=1,0,Q9=2,-1,Q9=4,-2,Q9=0.5,1,Q9=0.25,2,Q9=0,4)</f>
        <v>0</v>
      </c>
    </row>
    <row r="10" spans="1:36" x14ac:dyDescent="0.2">
      <c r="A10" s="21" t="s">
        <v>0</v>
      </c>
      <c r="B10" s="22" t="s">
        <v>9</v>
      </c>
      <c r="C10" s="24">
        <f>INDEX(Output!$B$3:$P$17,MATCH('Defensive Summary'!C$1,Output!$A$3:$A$17,0),MATCH('Defensive Summary'!$A10,Output!$B$2:$P$2,0))*INDEX(Output!$B$3:$P$17,MATCH('Defensive Summary'!C$1,Output!$A$3:$A$17,0),MATCH('Defensive Summary'!$B10,Output!$B$2:$P$2,0))</f>
        <v>0.5</v>
      </c>
      <c r="D10" s="24">
        <f>INDEX(Output!$B$3:$P$17,MATCH('Defensive Summary'!D$1,Output!$A$3:$A$17,0),MATCH('Defensive Summary'!$A10,Output!$B$2:$P$2,0))*INDEX(Output!$B$3:$P$17,MATCH('Defensive Summary'!D$1,Output!$A$3:$A$17,0),MATCH('Defensive Summary'!$B10,Output!$B$2:$P$2,0))</f>
        <v>2</v>
      </c>
      <c r="E10" s="24">
        <f>INDEX(Output!$B$3:$P$17,MATCH('Defensive Summary'!E$1,Output!$A$3:$A$17,0),MATCH('Defensive Summary'!$A10,Output!$B$2:$P$2,0))*INDEX(Output!$B$3:$P$17,MATCH('Defensive Summary'!E$1,Output!$A$3:$A$17,0),MATCH('Defensive Summary'!$B10,Output!$B$2:$P$2,0))</f>
        <v>0.5</v>
      </c>
      <c r="F10" s="24">
        <f>INDEX(Output!$B$3:$P$17,MATCH('Defensive Summary'!F$1,Output!$A$3:$A$17,0),MATCH('Defensive Summary'!$A10,Output!$B$2:$P$2,0))*INDEX(Output!$B$3:$P$17,MATCH('Defensive Summary'!F$1,Output!$A$3:$A$17,0),MATCH('Defensive Summary'!$B10,Output!$B$2:$P$2,0))</f>
        <v>2</v>
      </c>
      <c r="G10" s="24">
        <f>INDEX(Output!$B$3:$P$17,MATCH('Defensive Summary'!G$1,Output!$A$3:$A$17,0),MATCH('Defensive Summary'!$A10,Output!$B$2:$P$2,0))*INDEX(Output!$B$3:$P$17,MATCH('Defensive Summary'!G$1,Output!$A$3:$A$17,0),MATCH('Defensive Summary'!$B10,Output!$B$2:$P$2,0))</f>
        <v>2</v>
      </c>
      <c r="H10" s="24">
        <f>INDEX(Output!$B$3:$P$17,MATCH('Defensive Summary'!H$1,Output!$A$3:$A$17,0),MATCH('Defensive Summary'!$A10,Output!$B$2:$P$2,0))*INDEX(Output!$B$3:$P$17,MATCH('Defensive Summary'!H$1,Output!$A$3:$A$17,0),MATCH('Defensive Summary'!$B10,Output!$B$2:$P$2,0))</f>
        <v>1</v>
      </c>
      <c r="I10" s="24">
        <f>INDEX(Output!$B$3:$P$17,MATCH('Defensive Summary'!I$1,Output!$A$3:$A$17,0),MATCH('Defensive Summary'!$A10,Output!$B$2:$P$2,0))*INDEX(Output!$B$3:$P$17,MATCH('Defensive Summary'!I$1,Output!$A$3:$A$17,0),MATCH('Defensive Summary'!$B10,Output!$B$2:$P$2,0))</f>
        <v>0.5</v>
      </c>
      <c r="J10" s="24">
        <f>INDEX(Output!$B$3:$P$17,MATCH('Defensive Summary'!J$1,Output!$A$3:$A$17,0),MATCH('Defensive Summary'!$A10,Output!$B$2:$P$2,0))*INDEX(Output!$B$3:$P$17,MATCH('Defensive Summary'!J$1,Output!$A$3:$A$17,0),MATCH('Defensive Summary'!$B10,Output!$B$2:$P$2,0))</f>
        <v>1</v>
      </c>
      <c r="K10" s="24">
        <f>INDEX(Output!$B$3:$P$17,MATCH('Defensive Summary'!K$1,Output!$A$3:$A$17,0),MATCH('Defensive Summary'!$A10,Output!$B$2:$P$2,0))*INDEX(Output!$B$3:$P$17,MATCH('Defensive Summary'!K$1,Output!$A$3:$A$17,0),MATCH('Defensive Summary'!$B10,Output!$B$2:$P$2,0))</f>
        <v>0</v>
      </c>
      <c r="L10" s="24">
        <f>INDEX(Output!$B$3:$P$17,MATCH('Defensive Summary'!L$1,Output!$A$3:$A$17,0),MATCH('Defensive Summary'!$A10,Output!$B$2:$P$2,0))*INDEX(Output!$B$3:$P$17,MATCH('Defensive Summary'!L$1,Output!$A$3:$A$17,0),MATCH('Defensive Summary'!$B10,Output!$B$2:$P$2,0))</f>
        <v>0.5</v>
      </c>
      <c r="M10" s="24">
        <f>INDEX(Output!$B$3:$P$17,MATCH('Defensive Summary'!M$1,Output!$A$3:$A$17,0),MATCH('Defensive Summary'!$A10,Output!$B$2:$P$2,0))*INDEX(Output!$B$3:$P$17,MATCH('Defensive Summary'!M$1,Output!$A$3:$A$17,0),MATCH('Defensive Summary'!$B10,Output!$B$2:$P$2,0))</f>
        <v>4</v>
      </c>
      <c r="N10" s="24">
        <f>INDEX(Output!$B$3:$P$17,MATCH('Defensive Summary'!N$1,Output!$A$3:$A$17,0),MATCH('Defensive Summary'!$A10,Output!$B$2:$P$2,0))*INDEX(Output!$B$3:$P$17,MATCH('Defensive Summary'!N$1,Output!$A$3:$A$17,0),MATCH('Defensive Summary'!$B10,Output!$B$2:$P$2,0))</f>
        <v>1</v>
      </c>
      <c r="O10" s="24">
        <f>INDEX(Output!$B$3:$P$17,MATCH('Defensive Summary'!O$1,Output!$A$3:$A$17,0),MATCH('Defensive Summary'!$A10,Output!$B$2:$P$2,0))*INDEX(Output!$B$3:$P$17,MATCH('Defensive Summary'!O$1,Output!$A$3:$A$17,0),MATCH('Defensive Summary'!$B10,Output!$B$2:$P$2,0))</f>
        <v>0.5</v>
      </c>
      <c r="P10" s="24">
        <f>INDEX(Output!$B$3:$P$17,MATCH('Defensive Summary'!P$1,Output!$A$3:$A$17,0),MATCH('Defensive Summary'!$A10,Output!$B$2:$P$2,0))*INDEX(Output!$B$3:$P$17,MATCH('Defensive Summary'!P$1,Output!$A$3:$A$17,0),MATCH('Defensive Summary'!$B10,Output!$B$2:$P$2,0))</f>
        <v>2</v>
      </c>
      <c r="Q10" s="24">
        <f>INDEX(Output!$B$3:$P$17,MATCH('Defensive Summary'!Q$1,Output!$A$3:$A$17,0),MATCH('Defensive Summary'!$A10,Output!$B$2:$P$2,0))*INDEX(Output!$B$3:$P$17,MATCH('Defensive Summary'!Q$1,Output!$A$3:$A$17,0),MATCH('Defensive Summary'!$B10,Output!$B$2:$P$2,0))</f>
        <v>1</v>
      </c>
      <c r="R10" s="24"/>
      <c r="S10" s="25">
        <f t="shared" si="0"/>
        <v>3</v>
      </c>
      <c r="T10" s="21" t="s">
        <v>0</v>
      </c>
      <c r="U10" s="22" t="s">
        <v>9</v>
      </c>
      <c r="V10" s="24" cm="1">
        <f t="array" ref="V10">_xlfn.IFS(C10=1,0,C10=2,-1,C10=4,-2,C10=0.5,1,C10=0.25,2,C10=0,4)</f>
        <v>1</v>
      </c>
      <c r="W10" s="24" cm="1">
        <f t="array" ref="W10">_xlfn.IFS(D10=1,0,D10=2,-1,D10=4,-2,D10=0.5,1,D10=0.25,2,D10=0,4)</f>
        <v>-1</v>
      </c>
      <c r="X10" s="24" cm="1">
        <f t="array" ref="X10">_xlfn.IFS(E10=1,0,E10=2,-1,E10=4,-2,E10=0.5,1,E10=0.25,2,E10=0,4)</f>
        <v>1</v>
      </c>
      <c r="Y10" s="24" cm="1">
        <f t="array" ref="Y10">_xlfn.IFS(F10=1,0,F10=2,-1,F10=4,-2,F10=0.5,1,F10=0.25,2,F10=0,4)</f>
        <v>-1</v>
      </c>
      <c r="Z10" s="24" cm="1">
        <f t="array" ref="Z10">_xlfn.IFS(G10=1,0,G10=2,-1,G10=4,-2,G10=0.5,1,G10=0.25,2,G10=0,4)</f>
        <v>-1</v>
      </c>
      <c r="AA10" s="24" cm="1">
        <f t="array" ref="AA10">_xlfn.IFS(H10=1,0,H10=2,-1,H10=4,-2,H10=0.5,1,H10=0.25,2,H10=0,4)</f>
        <v>0</v>
      </c>
      <c r="AB10" s="24" cm="1">
        <f t="array" ref="AB10">_xlfn.IFS(I10=1,0,I10=2,-1,I10=4,-2,I10=0.5,1,I10=0.25,2,I10=0,4)</f>
        <v>1</v>
      </c>
      <c r="AC10" s="24" cm="1">
        <f t="array" ref="AC10">_xlfn.IFS(J10=1,0,J10=2,-1,J10=4,-2,J10=0.5,1,J10=0.25,2,J10=0,4)</f>
        <v>0</v>
      </c>
      <c r="AD10" s="24" cm="1">
        <f t="array" ref="AD10">_xlfn.IFS(K10=1,0,K10=2,-1,K10=4,-2,K10=0.5,1,K10=0.25,2,K10=0,4)</f>
        <v>4</v>
      </c>
      <c r="AE10" s="24" cm="1">
        <f t="array" ref="AE10">_xlfn.IFS(L10=1,0,L10=2,-1,L10=4,-2,L10=0.5,1,L10=0.25,2,L10=0,4)</f>
        <v>1</v>
      </c>
      <c r="AF10" s="24" cm="1">
        <f t="array" ref="AF10">_xlfn.IFS(M10=1,0,M10=2,-1,M10=4,-2,M10=0.5,1,M10=0.25,2,M10=0,4)</f>
        <v>-2</v>
      </c>
      <c r="AG10" s="24" cm="1">
        <f t="array" ref="AG10">_xlfn.IFS(N10=1,0,N10=2,-1,N10=4,-2,N10=0.5,1,N10=0.25,2,N10=0,4)</f>
        <v>0</v>
      </c>
      <c r="AH10" s="24" cm="1">
        <f t="array" ref="AH10">_xlfn.IFS(O10=1,0,O10=2,-1,O10=4,-2,O10=0.5,1,O10=0.25,2,O10=0,4)</f>
        <v>1</v>
      </c>
      <c r="AI10" s="24" cm="1">
        <f t="array" ref="AI10">_xlfn.IFS(P10=1,0,P10=2,-1,P10=4,-2,P10=0.5,1,P10=0.25,2,P10=0,4)</f>
        <v>-1</v>
      </c>
      <c r="AJ10" s="24" cm="1">
        <f t="array" ref="AJ10">_xlfn.IFS(Q10=1,0,Q10=2,-1,Q10=4,-2,Q10=0.5,1,Q10=0.25,2,Q10=0,4)</f>
        <v>0</v>
      </c>
    </row>
    <row r="11" spans="1:36" x14ac:dyDescent="0.2">
      <c r="A11" s="21" t="s">
        <v>0</v>
      </c>
      <c r="B11" s="22" t="s">
        <v>10</v>
      </c>
      <c r="C11" s="24">
        <f>INDEX(Output!$B$3:$P$17,MATCH('Defensive Summary'!C$1,Output!$A$3:$A$17,0),MATCH('Defensive Summary'!$A11,Output!$B$2:$P$2,0))*INDEX(Output!$B$3:$P$17,MATCH('Defensive Summary'!C$1,Output!$A$3:$A$17,0),MATCH('Defensive Summary'!$B11,Output!$B$2:$P$2,0))</f>
        <v>1</v>
      </c>
      <c r="D11" s="24">
        <f>INDEX(Output!$B$3:$P$17,MATCH('Defensive Summary'!D$1,Output!$A$3:$A$17,0),MATCH('Defensive Summary'!$A11,Output!$B$2:$P$2,0))*INDEX(Output!$B$3:$P$17,MATCH('Defensive Summary'!D$1,Output!$A$3:$A$17,0),MATCH('Defensive Summary'!$B11,Output!$B$2:$P$2,0))</f>
        <v>2</v>
      </c>
      <c r="E11" s="24">
        <f>INDEX(Output!$B$3:$P$17,MATCH('Defensive Summary'!E$1,Output!$A$3:$A$17,0),MATCH('Defensive Summary'!$A11,Output!$B$2:$P$2,0))*INDEX(Output!$B$3:$P$17,MATCH('Defensive Summary'!E$1,Output!$A$3:$A$17,0),MATCH('Defensive Summary'!$B11,Output!$B$2:$P$2,0))</f>
        <v>0.25</v>
      </c>
      <c r="F11" s="24">
        <f>INDEX(Output!$B$3:$P$17,MATCH('Defensive Summary'!F$1,Output!$A$3:$A$17,0),MATCH('Defensive Summary'!$A11,Output!$B$2:$P$2,0))*INDEX(Output!$B$3:$P$17,MATCH('Defensive Summary'!F$1,Output!$A$3:$A$17,0),MATCH('Defensive Summary'!$B11,Output!$B$2:$P$2,0))</f>
        <v>2</v>
      </c>
      <c r="G11" s="24">
        <f>INDEX(Output!$B$3:$P$17,MATCH('Defensive Summary'!G$1,Output!$A$3:$A$17,0),MATCH('Defensive Summary'!$A11,Output!$B$2:$P$2,0))*INDEX(Output!$B$3:$P$17,MATCH('Defensive Summary'!G$1,Output!$A$3:$A$17,0),MATCH('Defensive Summary'!$B11,Output!$B$2:$P$2,0))</f>
        <v>4</v>
      </c>
      <c r="H11" s="24">
        <f>INDEX(Output!$B$3:$P$17,MATCH('Defensive Summary'!H$1,Output!$A$3:$A$17,0),MATCH('Defensive Summary'!$A11,Output!$B$2:$P$2,0))*INDEX(Output!$B$3:$P$17,MATCH('Defensive Summary'!H$1,Output!$A$3:$A$17,0),MATCH('Defensive Summary'!$B11,Output!$B$2:$P$2,0))</f>
        <v>2</v>
      </c>
      <c r="I11" s="24">
        <f>INDEX(Output!$B$3:$P$17,MATCH('Defensive Summary'!I$1,Output!$A$3:$A$17,0),MATCH('Defensive Summary'!$A11,Output!$B$2:$P$2,0))*INDEX(Output!$B$3:$P$17,MATCH('Defensive Summary'!I$1,Output!$A$3:$A$17,0),MATCH('Defensive Summary'!$B11,Output!$B$2:$P$2,0))</f>
        <v>0.25</v>
      </c>
      <c r="J11" s="24">
        <f>INDEX(Output!$B$3:$P$17,MATCH('Defensive Summary'!J$1,Output!$A$3:$A$17,0),MATCH('Defensive Summary'!$A11,Output!$B$2:$P$2,0))*INDEX(Output!$B$3:$P$17,MATCH('Defensive Summary'!J$1,Output!$A$3:$A$17,0),MATCH('Defensive Summary'!$B11,Output!$B$2:$P$2,0))</f>
        <v>4</v>
      </c>
      <c r="K11" s="24">
        <f>INDEX(Output!$B$3:$P$17,MATCH('Defensive Summary'!K$1,Output!$A$3:$A$17,0),MATCH('Defensive Summary'!$A11,Output!$B$2:$P$2,0))*INDEX(Output!$B$3:$P$17,MATCH('Defensive Summary'!K$1,Output!$A$3:$A$17,0),MATCH('Defensive Summary'!$B11,Output!$B$2:$P$2,0))</f>
        <v>0.5</v>
      </c>
      <c r="L11" s="24">
        <f>INDEX(Output!$B$3:$P$17,MATCH('Defensive Summary'!L$1,Output!$A$3:$A$17,0),MATCH('Defensive Summary'!$A11,Output!$B$2:$P$2,0))*INDEX(Output!$B$3:$P$17,MATCH('Defensive Summary'!L$1,Output!$A$3:$A$17,0),MATCH('Defensive Summary'!$B11,Output!$B$2:$P$2,0))</f>
        <v>0</v>
      </c>
      <c r="M11" s="24">
        <f>INDEX(Output!$B$3:$P$17,MATCH('Defensive Summary'!M$1,Output!$A$3:$A$17,0),MATCH('Defensive Summary'!$A11,Output!$B$2:$P$2,0))*INDEX(Output!$B$3:$P$17,MATCH('Defensive Summary'!M$1,Output!$A$3:$A$17,0),MATCH('Defensive Summary'!$B11,Output!$B$2:$P$2,0))</f>
        <v>2</v>
      </c>
      <c r="N11" s="24">
        <f>INDEX(Output!$B$3:$P$17,MATCH('Defensive Summary'!N$1,Output!$A$3:$A$17,0),MATCH('Defensive Summary'!$A11,Output!$B$2:$P$2,0))*INDEX(Output!$B$3:$P$17,MATCH('Defensive Summary'!N$1,Output!$A$3:$A$17,0),MATCH('Defensive Summary'!$B11,Output!$B$2:$P$2,0))</f>
        <v>0.5</v>
      </c>
      <c r="O11" s="24">
        <f>INDEX(Output!$B$3:$P$17,MATCH('Defensive Summary'!O$1,Output!$A$3:$A$17,0),MATCH('Defensive Summary'!$A11,Output!$B$2:$P$2,0))*INDEX(Output!$B$3:$P$17,MATCH('Defensive Summary'!O$1,Output!$A$3:$A$17,0),MATCH('Defensive Summary'!$B11,Output!$B$2:$P$2,0))</f>
        <v>0.5</v>
      </c>
      <c r="P11" s="24">
        <f>INDEX(Output!$B$3:$P$17,MATCH('Defensive Summary'!P$1,Output!$A$3:$A$17,0),MATCH('Defensive Summary'!$A11,Output!$B$2:$P$2,0))*INDEX(Output!$B$3:$P$17,MATCH('Defensive Summary'!P$1,Output!$A$3:$A$17,0),MATCH('Defensive Summary'!$B11,Output!$B$2:$P$2,0))</f>
        <v>1</v>
      </c>
      <c r="Q11" s="24">
        <f>INDEX(Output!$B$3:$P$17,MATCH('Defensive Summary'!Q$1,Output!$A$3:$A$17,0),MATCH('Defensive Summary'!$A11,Output!$B$2:$P$2,0))*INDEX(Output!$B$3:$P$17,MATCH('Defensive Summary'!Q$1,Output!$A$3:$A$17,0),MATCH('Defensive Summary'!$B11,Output!$B$2:$P$2,0))</f>
        <v>1</v>
      </c>
      <c r="R11" s="24"/>
      <c r="S11" s="25">
        <f t="shared" si="0"/>
        <v>3</v>
      </c>
      <c r="T11" s="21" t="s">
        <v>0</v>
      </c>
      <c r="U11" s="22" t="s">
        <v>10</v>
      </c>
      <c r="V11" s="24" cm="1">
        <f t="array" ref="V11">_xlfn.IFS(C11=1,0,C11=2,-1,C11=4,-2,C11=0.5,1,C11=0.25,2,C11=0,4)</f>
        <v>0</v>
      </c>
      <c r="W11" s="24" cm="1">
        <f t="array" ref="W11">_xlfn.IFS(D11=1,0,D11=2,-1,D11=4,-2,D11=0.5,1,D11=0.25,2,D11=0,4)</f>
        <v>-1</v>
      </c>
      <c r="X11" s="24" cm="1">
        <f t="array" ref="X11">_xlfn.IFS(E11=1,0,E11=2,-1,E11=4,-2,E11=0.5,1,E11=0.25,2,E11=0,4)</f>
        <v>2</v>
      </c>
      <c r="Y11" s="24" cm="1">
        <f t="array" ref="Y11">_xlfn.IFS(F11=1,0,F11=2,-1,F11=4,-2,F11=0.5,1,F11=0.25,2,F11=0,4)</f>
        <v>-1</v>
      </c>
      <c r="Z11" s="24" cm="1">
        <f t="array" ref="Z11">_xlfn.IFS(G11=1,0,G11=2,-1,G11=4,-2,G11=0.5,1,G11=0.25,2,G11=0,4)</f>
        <v>-2</v>
      </c>
      <c r="AA11" s="24" cm="1">
        <f t="array" ref="AA11">_xlfn.IFS(H11=1,0,H11=2,-1,H11=4,-2,H11=0.5,1,H11=0.25,2,H11=0,4)</f>
        <v>-1</v>
      </c>
      <c r="AB11" s="24" cm="1">
        <f t="array" ref="AB11">_xlfn.IFS(I11=1,0,I11=2,-1,I11=4,-2,I11=0.5,1,I11=0.25,2,I11=0,4)</f>
        <v>2</v>
      </c>
      <c r="AC11" s="24" cm="1">
        <f t="array" ref="AC11">_xlfn.IFS(J11=1,0,J11=2,-1,J11=4,-2,J11=0.5,1,J11=0.25,2,J11=0,4)</f>
        <v>-2</v>
      </c>
      <c r="AD11" s="24" cm="1">
        <f t="array" ref="AD11">_xlfn.IFS(K11=1,0,K11=2,-1,K11=4,-2,K11=0.5,1,K11=0.25,2,K11=0,4)</f>
        <v>1</v>
      </c>
      <c r="AE11" s="24" cm="1">
        <f t="array" ref="AE11">_xlfn.IFS(L11=1,0,L11=2,-1,L11=4,-2,L11=0.5,1,L11=0.25,2,L11=0,4)</f>
        <v>4</v>
      </c>
      <c r="AF11" s="24" cm="1">
        <f t="array" ref="AF11">_xlfn.IFS(M11=1,0,M11=2,-1,M11=4,-2,M11=0.5,1,M11=0.25,2,M11=0,4)</f>
        <v>-1</v>
      </c>
      <c r="AG11" s="24" cm="1">
        <f t="array" ref="AG11">_xlfn.IFS(N11=1,0,N11=2,-1,N11=4,-2,N11=0.5,1,N11=0.25,2,N11=0,4)</f>
        <v>1</v>
      </c>
      <c r="AH11" s="24" cm="1">
        <f t="array" ref="AH11">_xlfn.IFS(O11=1,0,O11=2,-1,O11=4,-2,O11=0.5,1,O11=0.25,2,O11=0,4)</f>
        <v>1</v>
      </c>
      <c r="AI11" s="24" cm="1">
        <f t="array" ref="AI11">_xlfn.IFS(P11=1,0,P11=2,-1,P11=4,-2,P11=0.5,1,P11=0.25,2,P11=0,4)</f>
        <v>0</v>
      </c>
      <c r="AJ11" s="24" cm="1">
        <f t="array" ref="AJ11">_xlfn.IFS(Q11=1,0,Q11=2,-1,Q11=4,-2,Q11=0.5,1,Q11=0.25,2,Q11=0,4)</f>
        <v>0</v>
      </c>
    </row>
    <row r="12" spans="1:36" x14ac:dyDescent="0.2">
      <c r="A12" s="21" t="s">
        <v>0</v>
      </c>
      <c r="B12" s="22" t="s">
        <v>11</v>
      </c>
      <c r="C12" s="24">
        <f>INDEX(Output!$B$3:$P$17,MATCH('Defensive Summary'!C$1,Output!$A$3:$A$17,0),MATCH('Defensive Summary'!$A12,Output!$B$2:$P$2,0))*INDEX(Output!$B$3:$P$17,MATCH('Defensive Summary'!C$1,Output!$A$3:$A$17,0),MATCH('Defensive Summary'!$B12,Output!$B$2:$P$2,0))</f>
        <v>0.5</v>
      </c>
      <c r="D12" s="24">
        <f>INDEX(Output!$B$3:$P$17,MATCH('Defensive Summary'!D$1,Output!$A$3:$A$17,0),MATCH('Defensive Summary'!$A12,Output!$B$2:$P$2,0))*INDEX(Output!$B$3:$P$17,MATCH('Defensive Summary'!D$1,Output!$A$3:$A$17,0),MATCH('Defensive Summary'!$B12,Output!$B$2:$P$2,0))</f>
        <v>2</v>
      </c>
      <c r="E12" s="24">
        <f>INDEX(Output!$B$3:$P$17,MATCH('Defensive Summary'!E$1,Output!$A$3:$A$17,0),MATCH('Defensive Summary'!$A12,Output!$B$2:$P$2,0))*INDEX(Output!$B$3:$P$17,MATCH('Defensive Summary'!E$1,Output!$A$3:$A$17,0),MATCH('Defensive Summary'!$B12,Output!$B$2:$P$2,0))</f>
        <v>0.5</v>
      </c>
      <c r="F12" s="24">
        <f>INDEX(Output!$B$3:$P$17,MATCH('Defensive Summary'!F$1,Output!$A$3:$A$17,0),MATCH('Defensive Summary'!$A12,Output!$B$2:$P$2,0))*INDEX(Output!$B$3:$P$17,MATCH('Defensive Summary'!F$1,Output!$A$3:$A$17,0),MATCH('Defensive Summary'!$B12,Output!$B$2:$P$2,0))</f>
        <v>2</v>
      </c>
      <c r="G12" s="24">
        <f>INDEX(Output!$B$3:$P$17,MATCH('Defensive Summary'!G$1,Output!$A$3:$A$17,0),MATCH('Defensive Summary'!$A12,Output!$B$2:$P$2,0))*INDEX(Output!$B$3:$P$17,MATCH('Defensive Summary'!G$1,Output!$A$3:$A$17,0),MATCH('Defensive Summary'!$B12,Output!$B$2:$P$2,0))</f>
        <v>2</v>
      </c>
      <c r="H12" s="24">
        <f>INDEX(Output!$B$3:$P$17,MATCH('Defensive Summary'!H$1,Output!$A$3:$A$17,0),MATCH('Defensive Summary'!$A12,Output!$B$2:$P$2,0))*INDEX(Output!$B$3:$P$17,MATCH('Defensive Summary'!H$1,Output!$A$3:$A$17,0),MATCH('Defensive Summary'!$B12,Output!$B$2:$P$2,0))</f>
        <v>1</v>
      </c>
      <c r="I12" s="24">
        <f>INDEX(Output!$B$3:$P$17,MATCH('Defensive Summary'!I$1,Output!$A$3:$A$17,0),MATCH('Defensive Summary'!$A12,Output!$B$2:$P$2,0))*INDEX(Output!$B$3:$P$17,MATCH('Defensive Summary'!I$1,Output!$A$3:$A$17,0),MATCH('Defensive Summary'!$B12,Output!$B$2:$P$2,0))</f>
        <v>0.25</v>
      </c>
      <c r="J12" s="24">
        <f>INDEX(Output!$B$3:$P$17,MATCH('Defensive Summary'!J$1,Output!$A$3:$A$17,0),MATCH('Defensive Summary'!$A12,Output!$B$2:$P$2,0))*INDEX(Output!$B$3:$P$17,MATCH('Defensive Summary'!J$1,Output!$A$3:$A$17,0),MATCH('Defensive Summary'!$B12,Output!$B$2:$P$2,0))</f>
        <v>2</v>
      </c>
      <c r="K12" s="24">
        <f>INDEX(Output!$B$3:$P$17,MATCH('Defensive Summary'!K$1,Output!$A$3:$A$17,0),MATCH('Defensive Summary'!$A12,Output!$B$2:$P$2,0))*INDEX(Output!$B$3:$P$17,MATCH('Defensive Summary'!K$1,Output!$A$3:$A$17,0),MATCH('Defensive Summary'!$B12,Output!$B$2:$P$2,0))</f>
        <v>1</v>
      </c>
      <c r="L12" s="24">
        <f>INDEX(Output!$B$3:$P$17,MATCH('Defensive Summary'!L$1,Output!$A$3:$A$17,0),MATCH('Defensive Summary'!$A12,Output!$B$2:$P$2,0))*INDEX(Output!$B$3:$P$17,MATCH('Defensive Summary'!L$1,Output!$A$3:$A$17,0),MATCH('Defensive Summary'!$B12,Output!$B$2:$P$2,0))</f>
        <v>0.5</v>
      </c>
      <c r="M12" s="24">
        <f>INDEX(Output!$B$3:$P$17,MATCH('Defensive Summary'!M$1,Output!$A$3:$A$17,0),MATCH('Defensive Summary'!$A12,Output!$B$2:$P$2,0))*INDEX(Output!$B$3:$P$17,MATCH('Defensive Summary'!M$1,Output!$A$3:$A$17,0),MATCH('Defensive Summary'!$B12,Output!$B$2:$P$2,0))</f>
        <v>2</v>
      </c>
      <c r="N12" s="24">
        <f>INDEX(Output!$B$3:$P$17,MATCH('Defensive Summary'!N$1,Output!$A$3:$A$17,0),MATCH('Defensive Summary'!$A12,Output!$B$2:$P$2,0))*INDEX(Output!$B$3:$P$17,MATCH('Defensive Summary'!N$1,Output!$A$3:$A$17,0),MATCH('Defensive Summary'!$B12,Output!$B$2:$P$2,0))</f>
        <v>0.5</v>
      </c>
      <c r="O12" s="24">
        <f>INDEX(Output!$B$3:$P$17,MATCH('Defensive Summary'!O$1,Output!$A$3:$A$17,0),MATCH('Defensive Summary'!$A12,Output!$B$2:$P$2,0))*INDEX(Output!$B$3:$P$17,MATCH('Defensive Summary'!O$1,Output!$A$3:$A$17,0),MATCH('Defensive Summary'!$B12,Output!$B$2:$P$2,0))</f>
        <v>2</v>
      </c>
      <c r="P12" s="24">
        <f>INDEX(Output!$B$3:$P$17,MATCH('Defensive Summary'!P$1,Output!$A$3:$A$17,0),MATCH('Defensive Summary'!$A12,Output!$B$2:$P$2,0))*INDEX(Output!$B$3:$P$17,MATCH('Defensive Summary'!P$1,Output!$A$3:$A$17,0),MATCH('Defensive Summary'!$B12,Output!$B$2:$P$2,0))</f>
        <v>0.5</v>
      </c>
      <c r="Q12" s="24">
        <f>INDEX(Output!$B$3:$P$17,MATCH('Defensive Summary'!Q$1,Output!$A$3:$A$17,0),MATCH('Defensive Summary'!$A12,Output!$B$2:$P$2,0))*INDEX(Output!$B$3:$P$17,MATCH('Defensive Summary'!Q$1,Output!$A$3:$A$17,0),MATCH('Defensive Summary'!$B12,Output!$B$2:$P$2,0))</f>
        <v>1</v>
      </c>
      <c r="R12" s="24"/>
      <c r="S12" s="25">
        <f t="shared" si="0"/>
        <v>1</v>
      </c>
      <c r="T12" s="21" t="s">
        <v>0</v>
      </c>
      <c r="U12" s="22" t="s">
        <v>11</v>
      </c>
      <c r="V12" s="24" cm="1">
        <f t="array" ref="V12">_xlfn.IFS(C12=1,0,C12=2,-1,C12=4,-2,C12=0.5,1,C12=0.25,2,C12=0,4)</f>
        <v>1</v>
      </c>
      <c r="W12" s="24" cm="1">
        <f t="array" ref="W12">_xlfn.IFS(D12=1,0,D12=2,-1,D12=4,-2,D12=0.5,1,D12=0.25,2,D12=0,4)</f>
        <v>-1</v>
      </c>
      <c r="X12" s="24" cm="1">
        <f t="array" ref="X12">_xlfn.IFS(E12=1,0,E12=2,-1,E12=4,-2,E12=0.5,1,E12=0.25,2,E12=0,4)</f>
        <v>1</v>
      </c>
      <c r="Y12" s="24" cm="1">
        <f t="array" ref="Y12">_xlfn.IFS(F12=1,0,F12=2,-1,F12=4,-2,F12=0.5,1,F12=0.25,2,F12=0,4)</f>
        <v>-1</v>
      </c>
      <c r="Z12" s="24" cm="1">
        <f t="array" ref="Z12">_xlfn.IFS(G12=1,0,G12=2,-1,G12=4,-2,G12=0.5,1,G12=0.25,2,G12=0,4)</f>
        <v>-1</v>
      </c>
      <c r="AA12" s="24" cm="1">
        <f t="array" ref="AA12">_xlfn.IFS(H12=1,0,H12=2,-1,H12=4,-2,H12=0.5,1,H12=0.25,2,H12=0,4)</f>
        <v>0</v>
      </c>
      <c r="AB12" s="24" cm="1">
        <f t="array" ref="AB12">_xlfn.IFS(I12=1,0,I12=2,-1,I12=4,-2,I12=0.5,1,I12=0.25,2,I12=0,4)</f>
        <v>2</v>
      </c>
      <c r="AC12" s="24" cm="1">
        <f t="array" ref="AC12">_xlfn.IFS(J12=1,0,J12=2,-1,J12=4,-2,J12=0.5,1,J12=0.25,2,J12=0,4)</f>
        <v>-1</v>
      </c>
      <c r="AD12" s="24" cm="1">
        <f t="array" ref="AD12">_xlfn.IFS(K12=1,0,K12=2,-1,K12=4,-2,K12=0.5,1,K12=0.25,2,K12=0,4)</f>
        <v>0</v>
      </c>
      <c r="AE12" s="24" cm="1">
        <f t="array" ref="AE12">_xlfn.IFS(L12=1,0,L12=2,-1,L12=4,-2,L12=0.5,1,L12=0.25,2,L12=0,4)</f>
        <v>1</v>
      </c>
      <c r="AF12" s="24" cm="1">
        <f t="array" ref="AF12">_xlfn.IFS(M12=1,0,M12=2,-1,M12=4,-2,M12=0.5,1,M12=0.25,2,M12=0,4)</f>
        <v>-1</v>
      </c>
      <c r="AG12" s="24" cm="1">
        <f t="array" ref="AG12">_xlfn.IFS(N12=1,0,N12=2,-1,N12=4,-2,N12=0.5,1,N12=0.25,2,N12=0,4)</f>
        <v>1</v>
      </c>
      <c r="AH12" s="24" cm="1">
        <f t="array" ref="AH12">_xlfn.IFS(O12=1,0,O12=2,-1,O12=4,-2,O12=0.5,1,O12=0.25,2,O12=0,4)</f>
        <v>-1</v>
      </c>
      <c r="AI12" s="24" cm="1">
        <f t="array" ref="AI12">_xlfn.IFS(P12=1,0,P12=2,-1,P12=4,-2,P12=0.5,1,P12=0.25,2,P12=0,4)</f>
        <v>1</v>
      </c>
      <c r="AJ12" s="24" cm="1">
        <f t="array" ref="AJ12">_xlfn.IFS(Q12=1,0,Q12=2,-1,Q12=4,-2,Q12=0.5,1,Q12=0.25,2,Q12=0,4)</f>
        <v>0</v>
      </c>
    </row>
    <row r="13" spans="1:36" x14ac:dyDescent="0.2">
      <c r="A13" s="21" t="s">
        <v>0</v>
      </c>
      <c r="B13" s="22" t="s">
        <v>12</v>
      </c>
      <c r="C13" s="24">
        <f>INDEX(Output!$B$3:$P$17,MATCH('Defensive Summary'!C$1,Output!$A$3:$A$17,0),MATCH('Defensive Summary'!$A13,Output!$B$2:$P$2,0))*INDEX(Output!$B$3:$P$17,MATCH('Defensive Summary'!C$1,Output!$A$3:$A$17,0),MATCH('Defensive Summary'!$B13,Output!$B$2:$P$2,0))</f>
        <v>1</v>
      </c>
      <c r="D13" s="24">
        <f>INDEX(Output!$B$3:$P$17,MATCH('Defensive Summary'!D$1,Output!$A$3:$A$17,0),MATCH('Defensive Summary'!$A13,Output!$B$2:$P$2,0))*INDEX(Output!$B$3:$P$17,MATCH('Defensive Summary'!D$1,Output!$A$3:$A$17,0),MATCH('Defensive Summary'!$B13,Output!$B$2:$P$2,0))</f>
        <v>4</v>
      </c>
      <c r="E13" s="24">
        <f>INDEX(Output!$B$3:$P$17,MATCH('Defensive Summary'!E$1,Output!$A$3:$A$17,0),MATCH('Defensive Summary'!$A13,Output!$B$2:$P$2,0))*INDEX(Output!$B$3:$P$17,MATCH('Defensive Summary'!E$1,Output!$A$3:$A$17,0),MATCH('Defensive Summary'!$B13,Output!$B$2:$P$2,0))</f>
        <v>1</v>
      </c>
      <c r="F13" s="24">
        <f>INDEX(Output!$B$3:$P$17,MATCH('Defensive Summary'!F$1,Output!$A$3:$A$17,0),MATCH('Defensive Summary'!$A13,Output!$B$2:$P$2,0))*INDEX(Output!$B$3:$P$17,MATCH('Defensive Summary'!F$1,Output!$A$3:$A$17,0),MATCH('Defensive Summary'!$B13,Output!$B$2:$P$2,0))</f>
        <v>2</v>
      </c>
      <c r="G13" s="24">
        <f>INDEX(Output!$B$3:$P$17,MATCH('Defensive Summary'!G$1,Output!$A$3:$A$17,0),MATCH('Defensive Summary'!$A13,Output!$B$2:$P$2,0))*INDEX(Output!$B$3:$P$17,MATCH('Defensive Summary'!G$1,Output!$A$3:$A$17,0),MATCH('Defensive Summary'!$B13,Output!$B$2:$P$2,0))</f>
        <v>1</v>
      </c>
      <c r="H13" s="24">
        <f>INDEX(Output!$B$3:$P$17,MATCH('Defensive Summary'!H$1,Output!$A$3:$A$17,0),MATCH('Defensive Summary'!$A13,Output!$B$2:$P$2,0))*INDEX(Output!$B$3:$P$17,MATCH('Defensive Summary'!H$1,Output!$A$3:$A$17,0),MATCH('Defensive Summary'!$B13,Output!$B$2:$P$2,0))</f>
        <v>2</v>
      </c>
      <c r="I13" s="24">
        <f>INDEX(Output!$B$3:$P$17,MATCH('Defensive Summary'!I$1,Output!$A$3:$A$17,0),MATCH('Defensive Summary'!$A13,Output!$B$2:$P$2,0))*INDEX(Output!$B$3:$P$17,MATCH('Defensive Summary'!I$1,Output!$A$3:$A$17,0),MATCH('Defensive Summary'!$B13,Output!$B$2:$P$2,0))</f>
        <v>1</v>
      </c>
      <c r="J13" s="24">
        <f>INDEX(Output!$B$3:$P$17,MATCH('Defensive Summary'!J$1,Output!$A$3:$A$17,0),MATCH('Defensive Summary'!$A13,Output!$B$2:$P$2,0))*INDEX(Output!$B$3:$P$17,MATCH('Defensive Summary'!J$1,Output!$A$3:$A$17,0),MATCH('Defensive Summary'!$B13,Output!$B$2:$P$2,0))</f>
        <v>1</v>
      </c>
      <c r="K13" s="24">
        <f>INDEX(Output!$B$3:$P$17,MATCH('Defensive Summary'!K$1,Output!$A$3:$A$17,0),MATCH('Defensive Summary'!$A13,Output!$B$2:$P$2,0))*INDEX(Output!$B$3:$P$17,MATCH('Defensive Summary'!K$1,Output!$A$3:$A$17,0),MATCH('Defensive Summary'!$B13,Output!$B$2:$P$2,0))</f>
        <v>1</v>
      </c>
      <c r="L13" s="24">
        <f>INDEX(Output!$B$3:$P$17,MATCH('Defensive Summary'!L$1,Output!$A$3:$A$17,0),MATCH('Defensive Summary'!$A13,Output!$B$2:$P$2,0))*INDEX(Output!$B$3:$P$17,MATCH('Defensive Summary'!L$1,Output!$A$3:$A$17,0),MATCH('Defensive Summary'!$B13,Output!$B$2:$P$2,0))</f>
        <v>1</v>
      </c>
      <c r="M13" s="24">
        <f>INDEX(Output!$B$3:$P$17,MATCH('Defensive Summary'!M$1,Output!$A$3:$A$17,0),MATCH('Defensive Summary'!$A13,Output!$B$2:$P$2,0))*INDEX(Output!$B$3:$P$17,MATCH('Defensive Summary'!M$1,Output!$A$3:$A$17,0),MATCH('Defensive Summary'!$B13,Output!$B$2:$P$2,0))</f>
        <v>2</v>
      </c>
      <c r="N13" s="24">
        <f>INDEX(Output!$B$3:$P$17,MATCH('Defensive Summary'!N$1,Output!$A$3:$A$17,0),MATCH('Defensive Summary'!$A13,Output!$B$2:$P$2,0))*INDEX(Output!$B$3:$P$17,MATCH('Defensive Summary'!N$1,Output!$A$3:$A$17,0),MATCH('Defensive Summary'!$B13,Output!$B$2:$P$2,0))</f>
        <v>0</v>
      </c>
      <c r="O13" s="24">
        <f>INDEX(Output!$B$3:$P$17,MATCH('Defensive Summary'!O$1,Output!$A$3:$A$17,0),MATCH('Defensive Summary'!$A13,Output!$B$2:$P$2,0))*INDEX(Output!$B$3:$P$17,MATCH('Defensive Summary'!O$1,Output!$A$3:$A$17,0),MATCH('Defensive Summary'!$B13,Output!$B$2:$P$2,0))</f>
        <v>0.5</v>
      </c>
      <c r="P13" s="24">
        <f>INDEX(Output!$B$3:$P$17,MATCH('Defensive Summary'!P$1,Output!$A$3:$A$17,0),MATCH('Defensive Summary'!$A13,Output!$B$2:$P$2,0))*INDEX(Output!$B$3:$P$17,MATCH('Defensive Summary'!P$1,Output!$A$3:$A$17,0),MATCH('Defensive Summary'!$B13,Output!$B$2:$P$2,0))</f>
        <v>0</v>
      </c>
      <c r="Q13" s="24">
        <f>INDEX(Output!$B$3:$P$17,MATCH('Defensive Summary'!Q$1,Output!$A$3:$A$17,0),MATCH('Defensive Summary'!$A13,Output!$B$2:$P$2,0))*INDEX(Output!$B$3:$P$17,MATCH('Defensive Summary'!Q$1,Output!$A$3:$A$17,0),MATCH('Defensive Summary'!$B13,Output!$B$2:$P$2,0))</f>
        <v>1</v>
      </c>
      <c r="R13" s="24"/>
      <c r="S13" s="25">
        <f t="shared" si="0"/>
        <v>4</v>
      </c>
      <c r="T13" s="21" t="s">
        <v>0</v>
      </c>
      <c r="U13" s="22" t="s">
        <v>12</v>
      </c>
      <c r="V13" s="24" cm="1">
        <f t="array" ref="V13">_xlfn.IFS(C13=1,0,C13=2,-1,C13=4,-2,C13=0.5,1,C13=0.25,2,C13=0,4)</f>
        <v>0</v>
      </c>
      <c r="W13" s="24" cm="1">
        <f t="array" ref="W13">_xlfn.IFS(D13=1,0,D13=2,-1,D13=4,-2,D13=0.5,1,D13=0.25,2,D13=0,4)</f>
        <v>-2</v>
      </c>
      <c r="X13" s="24" cm="1">
        <f t="array" ref="X13">_xlfn.IFS(E13=1,0,E13=2,-1,E13=4,-2,E13=0.5,1,E13=0.25,2,E13=0,4)</f>
        <v>0</v>
      </c>
      <c r="Y13" s="24" cm="1">
        <f t="array" ref="Y13">_xlfn.IFS(F13=1,0,F13=2,-1,F13=4,-2,F13=0.5,1,F13=0.25,2,F13=0,4)</f>
        <v>-1</v>
      </c>
      <c r="Z13" s="24" cm="1">
        <f t="array" ref="Z13">_xlfn.IFS(G13=1,0,G13=2,-1,G13=4,-2,G13=0.5,1,G13=0.25,2,G13=0,4)</f>
        <v>0</v>
      </c>
      <c r="AA13" s="24" cm="1">
        <f t="array" ref="AA13">_xlfn.IFS(H13=1,0,H13=2,-1,H13=4,-2,H13=0.5,1,H13=0.25,2,H13=0,4)</f>
        <v>-1</v>
      </c>
      <c r="AB13" s="24" cm="1">
        <f t="array" ref="AB13">_xlfn.IFS(I13=1,0,I13=2,-1,I13=4,-2,I13=0.5,1,I13=0.25,2,I13=0,4)</f>
        <v>0</v>
      </c>
      <c r="AC13" s="24" cm="1">
        <f t="array" ref="AC13">_xlfn.IFS(J13=1,0,J13=2,-1,J13=4,-2,J13=0.5,1,J13=0.25,2,J13=0,4)</f>
        <v>0</v>
      </c>
      <c r="AD13" s="24" cm="1">
        <f t="array" ref="AD13">_xlfn.IFS(K13=1,0,K13=2,-1,K13=4,-2,K13=0.5,1,K13=0.25,2,K13=0,4)</f>
        <v>0</v>
      </c>
      <c r="AE13" s="24" cm="1">
        <f t="array" ref="AE13">_xlfn.IFS(L13=1,0,L13=2,-1,L13=4,-2,L13=0.5,1,L13=0.25,2,L13=0,4)</f>
        <v>0</v>
      </c>
      <c r="AF13" s="24" cm="1">
        <f t="array" ref="AF13">_xlfn.IFS(M13=1,0,M13=2,-1,M13=4,-2,M13=0.5,1,M13=0.25,2,M13=0,4)</f>
        <v>-1</v>
      </c>
      <c r="AG13" s="24" cm="1">
        <f t="array" ref="AG13">_xlfn.IFS(N13=1,0,N13=2,-1,N13=4,-2,N13=0.5,1,N13=0.25,2,N13=0,4)</f>
        <v>4</v>
      </c>
      <c r="AH13" s="24" cm="1">
        <f t="array" ref="AH13">_xlfn.IFS(O13=1,0,O13=2,-1,O13=4,-2,O13=0.5,1,O13=0.25,2,O13=0,4)</f>
        <v>1</v>
      </c>
      <c r="AI13" s="24" cm="1">
        <f t="array" ref="AI13">_xlfn.IFS(P13=1,0,P13=2,-1,P13=4,-2,P13=0.5,1,P13=0.25,2,P13=0,4)</f>
        <v>4</v>
      </c>
      <c r="AJ13" s="24" cm="1">
        <f t="array" ref="AJ13">_xlfn.IFS(Q13=1,0,Q13=2,-1,Q13=4,-2,Q13=0.5,1,Q13=0.25,2,Q13=0,4)</f>
        <v>0</v>
      </c>
    </row>
    <row r="14" spans="1:36" x14ac:dyDescent="0.2">
      <c r="A14" s="21" t="s">
        <v>0</v>
      </c>
      <c r="B14" s="22" t="s">
        <v>13</v>
      </c>
      <c r="C14" s="24">
        <f>INDEX(Output!$B$3:$P$17,MATCH('Defensive Summary'!C$1,Output!$A$3:$A$17,0),MATCH('Defensive Summary'!$A14,Output!$B$2:$P$2,0))*INDEX(Output!$B$3:$P$17,MATCH('Defensive Summary'!C$1,Output!$A$3:$A$17,0),MATCH('Defensive Summary'!$B14,Output!$B$2:$P$2,0))</f>
        <v>0.5</v>
      </c>
      <c r="D14" s="24">
        <f>INDEX(Output!$B$3:$P$17,MATCH('Defensive Summary'!D$1,Output!$A$3:$A$17,0),MATCH('Defensive Summary'!$A14,Output!$B$2:$P$2,0))*INDEX(Output!$B$3:$P$17,MATCH('Defensive Summary'!D$1,Output!$A$3:$A$17,0),MATCH('Defensive Summary'!$B14,Output!$B$2:$P$2,0))</f>
        <v>1</v>
      </c>
      <c r="E14" s="24">
        <f>INDEX(Output!$B$3:$P$17,MATCH('Defensive Summary'!E$1,Output!$A$3:$A$17,0),MATCH('Defensive Summary'!$A14,Output!$B$2:$P$2,0))*INDEX(Output!$B$3:$P$17,MATCH('Defensive Summary'!E$1,Output!$A$3:$A$17,0),MATCH('Defensive Summary'!$B14,Output!$B$2:$P$2,0))</f>
        <v>0.5</v>
      </c>
      <c r="F14" s="24">
        <f>INDEX(Output!$B$3:$P$17,MATCH('Defensive Summary'!F$1,Output!$A$3:$A$17,0),MATCH('Defensive Summary'!$A14,Output!$B$2:$P$2,0))*INDEX(Output!$B$3:$P$17,MATCH('Defensive Summary'!F$1,Output!$A$3:$A$17,0),MATCH('Defensive Summary'!$B14,Output!$B$2:$P$2,0))</f>
        <v>2</v>
      </c>
      <c r="G14" s="24">
        <f>INDEX(Output!$B$3:$P$17,MATCH('Defensive Summary'!G$1,Output!$A$3:$A$17,0),MATCH('Defensive Summary'!$A14,Output!$B$2:$P$2,0))*INDEX(Output!$B$3:$P$17,MATCH('Defensive Summary'!G$1,Output!$A$3:$A$17,0),MATCH('Defensive Summary'!$B14,Output!$B$2:$P$2,0))</f>
        <v>2</v>
      </c>
      <c r="H14" s="24">
        <f>INDEX(Output!$B$3:$P$17,MATCH('Defensive Summary'!H$1,Output!$A$3:$A$17,0),MATCH('Defensive Summary'!$A14,Output!$B$2:$P$2,0))*INDEX(Output!$B$3:$P$17,MATCH('Defensive Summary'!H$1,Output!$A$3:$A$17,0),MATCH('Defensive Summary'!$B14,Output!$B$2:$P$2,0))</f>
        <v>0.5</v>
      </c>
      <c r="I14" s="24">
        <f>INDEX(Output!$B$3:$P$17,MATCH('Defensive Summary'!I$1,Output!$A$3:$A$17,0),MATCH('Defensive Summary'!$A14,Output!$B$2:$P$2,0))*INDEX(Output!$B$3:$P$17,MATCH('Defensive Summary'!I$1,Output!$A$3:$A$17,0),MATCH('Defensive Summary'!$B14,Output!$B$2:$P$2,0))</f>
        <v>0.25</v>
      </c>
      <c r="J14" s="24">
        <f>INDEX(Output!$B$3:$P$17,MATCH('Defensive Summary'!J$1,Output!$A$3:$A$17,0),MATCH('Defensive Summary'!$A14,Output!$B$2:$P$2,0))*INDEX(Output!$B$3:$P$17,MATCH('Defensive Summary'!J$1,Output!$A$3:$A$17,0),MATCH('Defensive Summary'!$B14,Output!$B$2:$P$2,0))</f>
        <v>2</v>
      </c>
      <c r="K14" s="24">
        <f>INDEX(Output!$B$3:$P$17,MATCH('Defensive Summary'!K$1,Output!$A$3:$A$17,0),MATCH('Defensive Summary'!$A14,Output!$B$2:$P$2,0))*INDEX(Output!$B$3:$P$17,MATCH('Defensive Summary'!K$1,Output!$A$3:$A$17,0),MATCH('Defensive Summary'!$B14,Output!$B$2:$P$2,0))</f>
        <v>2</v>
      </c>
      <c r="L14" s="24">
        <f>INDEX(Output!$B$3:$P$17,MATCH('Defensive Summary'!L$1,Output!$A$3:$A$17,0),MATCH('Defensive Summary'!$A14,Output!$B$2:$P$2,0))*INDEX(Output!$B$3:$P$17,MATCH('Defensive Summary'!L$1,Output!$A$3:$A$17,0),MATCH('Defensive Summary'!$B14,Output!$B$2:$P$2,0))</f>
        <v>0.5</v>
      </c>
      <c r="M14" s="24">
        <f>INDEX(Output!$B$3:$P$17,MATCH('Defensive Summary'!M$1,Output!$A$3:$A$17,0),MATCH('Defensive Summary'!$A14,Output!$B$2:$P$2,0))*INDEX(Output!$B$3:$P$17,MATCH('Defensive Summary'!M$1,Output!$A$3:$A$17,0),MATCH('Defensive Summary'!$B14,Output!$B$2:$P$2,0))</f>
        <v>1</v>
      </c>
      <c r="N14" s="24">
        <f>INDEX(Output!$B$3:$P$17,MATCH('Defensive Summary'!N$1,Output!$A$3:$A$17,0),MATCH('Defensive Summary'!$A14,Output!$B$2:$P$2,0))*INDEX(Output!$B$3:$P$17,MATCH('Defensive Summary'!N$1,Output!$A$3:$A$17,0),MATCH('Defensive Summary'!$B14,Output!$B$2:$P$2,0))</f>
        <v>0.5</v>
      </c>
      <c r="O14" s="24">
        <f>INDEX(Output!$B$3:$P$17,MATCH('Defensive Summary'!O$1,Output!$A$3:$A$17,0),MATCH('Defensive Summary'!$A14,Output!$B$2:$P$2,0))*INDEX(Output!$B$3:$P$17,MATCH('Defensive Summary'!O$1,Output!$A$3:$A$17,0),MATCH('Defensive Summary'!$B14,Output!$B$2:$P$2,0))</f>
        <v>2</v>
      </c>
      <c r="P14" s="24">
        <f>INDEX(Output!$B$3:$P$17,MATCH('Defensive Summary'!P$1,Output!$A$3:$A$17,0),MATCH('Defensive Summary'!$A14,Output!$B$2:$P$2,0))*INDEX(Output!$B$3:$P$17,MATCH('Defensive Summary'!P$1,Output!$A$3:$A$17,0),MATCH('Defensive Summary'!$B14,Output!$B$2:$P$2,0))</f>
        <v>0.5</v>
      </c>
      <c r="Q14" s="24">
        <f>INDEX(Output!$B$3:$P$17,MATCH('Defensive Summary'!Q$1,Output!$A$3:$A$17,0),MATCH('Defensive Summary'!$A14,Output!$B$2:$P$2,0))*INDEX(Output!$B$3:$P$17,MATCH('Defensive Summary'!Q$1,Output!$A$3:$A$17,0),MATCH('Defensive Summary'!$B14,Output!$B$2:$P$2,0))</f>
        <v>1</v>
      </c>
      <c r="R14" s="24"/>
      <c r="S14" s="25">
        <f t="shared" si="0"/>
        <v>3</v>
      </c>
      <c r="T14" s="21" t="s">
        <v>0</v>
      </c>
      <c r="U14" s="22" t="s">
        <v>13</v>
      </c>
      <c r="V14" s="24" cm="1">
        <f t="array" ref="V14">_xlfn.IFS(C14=1,0,C14=2,-1,C14=4,-2,C14=0.5,1,C14=0.25,2,C14=0,4)</f>
        <v>1</v>
      </c>
      <c r="W14" s="24" cm="1">
        <f t="array" ref="W14">_xlfn.IFS(D14=1,0,D14=2,-1,D14=4,-2,D14=0.5,1,D14=0.25,2,D14=0,4)</f>
        <v>0</v>
      </c>
      <c r="X14" s="24" cm="1">
        <f t="array" ref="X14">_xlfn.IFS(E14=1,0,E14=2,-1,E14=4,-2,E14=0.5,1,E14=0.25,2,E14=0,4)</f>
        <v>1</v>
      </c>
      <c r="Y14" s="24" cm="1">
        <f t="array" ref="Y14">_xlfn.IFS(F14=1,0,F14=2,-1,F14=4,-2,F14=0.5,1,F14=0.25,2,F14=0,4)</f>
        <v>-1</v>
      </c>
      <c r="Z14" s="24" cm="1">
        <f t="array" ref="Z14">_xlfn.IFS(G14=1,0,G14=2,-1,G14=4,-2,G14=0.5,1,G14=0.25,2,G14=0,4)</f>
        <v>-1</v>
      </c>
      <c r="AA14" s="24" cm="1">
        <f t="array" ref="AA14">_xlfn.IFS(H14=1,0,H14=2,-1,H14=4,-2,H14=0.5,1,H14=0.25,2,H14=0,4)</f>
        <v>1</v>
      </c>
      <c r="AB14" s="24" cm="1">
        <f t="array" ref="AB14">_xlfn.IFS(I14=1,0,I14=2,-1,I14=4,-2,I14=0.5,1,I14=0.25,2,I14=0,4)</f>
        <v>2</v>
      </c>
      <c r="AC14" s="24" cm="1">
        <f t="array" ref="AC14">_xlfn.IFS(J14=1,0,J14=2,-1,J14=4,-2,J14=0.5,1,J14=0.25,2,J14=0,4)</f>
        <v>-1</v>
      </c>
      <c r="AD14" s="24" cm="1">
        <f t="array" ref="AD14">_xlfn.IFS(K14=1,0,K14=2,-1,K14=4,-2,K14=0.5,1,K14=0.25,2,K14=0,4)</f>
        <v>-1</v>
      </c>
      <c r="AE14" s="24" cm="1">
        <f t="array" ref="AE14">_xlfn.IFS(L14=1,0,L14=2,-1,L14=4,-2,L14=0.5,1,L14=0.25,2,L14=0,4)</f>
        <v>1</v>
      </c>
      <c r="AF14" s="24" cm="1">
        <f t="array" ref="AF14">_xlfn.IFS(M14=1,0,M14=2,-1,M14=4,-2,M14=0.5,1,M14=0.25,2,M14=0,4)</f>
        <v>0</v>
      </c>
      <c r="AG14" s="24" cm="1">
        <f t="array" ref="AG14">_xlfn.IFS(N14=1,0,N14=2,-1,N14=4,-2,N14=0.5,1,N14=0.25,2,N14=0,4)</f>
        <v>1</v>
      </c>
      <c r="AH14" s="24" cm="1">
        <f t="array" ref="AH14">_xlfn.IFS(O14=1,0,O14=2,-1,O14=4,-2,O14=0.5,1,O14=0.25,2,O14=0,4)</f>
        <v>-1</v>
      </c>
      <c r="AI14" s="24" cm="1">
        <f t="array" ref="AI14">_xlfn.IFS(P14=1,0,P14=2,-1,P14=4,-2,P14=0.5,1,P14=0.25,2,P14=0,4)</f>
        <v>1</v>
      </c>
      <c r="AJ14" s="24" cm="1">
        <f t="array" ref="AJ14">_xlfn.IFS(Q14=1,0,Q14=2,-1,Q14=4,-2,Q14=0.5,1,Q14=0.25,2,Q14=0,4)</f>
        <v>0</v>
      </c>
    </row>
    <row r="15" spans="1:36" x14ac:dyDescent="0.2">
      <c r="A15" s="21" t="s">
        <v>0</v>
      </c>
      <c r="B15" s="22" t="s">
        <v>14</v>
      </c>
      <c r="C15" s="24">
        <f>INDEX(Output!$B$3:$P$17,MATCH('Defensive Summary'!C$1,Output!$A$3:$A$17,0),MATCH('Defensive Summary'!$A15,Output!$B$2:$P$2,0))*INDEX(Output!$B$3:$P$17,MATCH('Defensive Summary'!C$1,Output!$A$3:$A$17,0),MATCH('Defensive Summary'!$B15,Output!$B$2:$P$2,0))</f>
        <v>0.5</v>
      </c>
      <c r="D15" s="24">
        <f>INDEX(Output!$B$3:$P$17,MATCH('Defensive Summary'!D$1,Output!$A$3:$A$17,0),MATCH('Defensive Summary'!$A15,Output!$B$2:$P$2,0))*INDEX(Output!$B$3:$P$17,MATCH('Defensive Summary'!D$1,Output!$A$3:$A$17,0),MATCH('Defensive Summary'!$B15,Output!$B$2:$P$2,0))</f>
        <v>2</v>
      </c>
      <c r="E15" s="24">
        <f>INDEX(Output!$B$3:$P$17,MATCH('Defensive Summary'!E$1,Output!$A$3:$A$17,0),MATCH('Defensive Summary'!$A15,Output!$B$2:$P$2,0))*INDEX(Output!$B$3:$P$17,MATCH('Defensive Summary'!E$1,Output!$A$3:$A$17,0),MATCH('Defensive Summary'!$B15,Output!$B$2:$P$2,0))</f>
        <v>0.5</v>
      </c>
      <c r="F15" s="24">
        <f>INDEX(Output!$B$3:$P$17,MATCH('Defensive Summary'!F$1,Output!$A$3:$A$17,0),MATCH('Defensive Summary'!$A15,Output!$B$2:$P$2,0))*INDEX(Output!$B$3:$P$17,MATCH('Defensive Summary'!F$1,Output!$A$3:$A$17,0),MATCH('Defensive Summary'!$B15,Output!$B$2:$P$2,0))</f>
        <v>2</v>
      </c>
      <c r="G15" s="24">
        <f>INDEX(Output!$B$3:$P$17,MATCH('Defensive Summary'!G$1,Output!$A$3:$A$17,0),MATCH('Defensive Summary'!$A15,Output!$B$2:$P$2,0))*INDEX(Output!$B$3:$P$17,MATCH('Defensive Summary'!G$1,Output!$A$3:$A$17,0),MATCH('Defensive Summary'!$B15,Output!$B$2:$P$2,0))</f>
        <v>2</v>
      </c>
      <c r="H15" s="24">
        <f>INDEX(Output!$B$3:$P$17,MATCH('Defensive Summary'!H$1,Output!$A$3:$A$17,0),MATCH('Defensive Summary'!$A15,Output!$B$2:$P$2,0))*INDEX(Output!$B$3:$P$17,MATCH('Defensive Summary'!H$1,Output!$A$3:$A$17,0),MATCH('Defensive Summary'!$B15,Output!$B$2:$P$2,0))</f>
        <v>1</v>
      </c>
      <c r="I15" s="24">
        <f>INDEX(Output!$B$3:$P$17,MATCH('Defensive Summary'!I$1,Output!$A$3:$A$17,0),MATCH('Defensive Summary'!$A15,Output!$B$2:$P$2,0))*INDEX(Output!$B$3:$P$17,MATCH('Defensive Summary'!I$1,Output!$A$3:$A$17,0),MATCH('Defensive Summary'!$B15,Output!$B$2:$P$2,0))</f>
        <v>0.5</v>
      </c>
      <c r="J15" s="24">
        <f>INDEX(Output!$B$3:$P$17,MATCH('Defensive Summary'!J$1,Output!$A$3:$A$17,0),MATCH('Defensive Summary'!$A15,Output!$B$2:$P$2,0))*INDEX(Output!$B$3:$P$17,MATCH('Defensive Summary'!J$1,Output!$A$3:$A$17,0),MATCH('Defensive Summary'!$B15,Output!$B$2:$P$2,0))</f>
        <v>2</v>
      </c>
      <c r="K15" s="24">
        <f>INDEX(Output!$B$3:$P$17,MATCH('Defensive Summary'!K$1,Output!$A$3:$A$17,0),MATCH('Defensive Summary'!$A15,Output!$B$2:$P$2,0))*INDEX(Output!$B$3:$P$17,MATCH('Defensive Summary'!K$1,Output!$A$3:$A$17,0),MATCH('Defensive Summary'!$B15,Output!$B$2:$P$2,0))</f>
        <v>1</v>
      </c>
      <c r="L15" s="24">
        <f>INDEX(Output!$B$3:$P$17,MATCH('Defensive Summary'!L$1,Output!$A$3:$A$17,0),MATCH('Defensive Summary'!$A15,Output!$B$2:$P$2,0))*INDEX(Output!$B$3:$P$17,MATCH('Defensive Summary'!L$1,Output!$A$3:$A$17,0),MATCH('Defensive Summary'!$B15,Output!$B$2:$P$2,0))</f>
        <v>0.5</v>
      </c>
      <c r="M15" s="24">
        <f>INDEX(Output!$B$3:$P$17,MATCH('Defensive Summary'!M$1,Output!$A$3:$A$17,0),MATCH('Defensive Summary'!$A15,Output!$B$2:$P$2,0))*INDEX(Output!$B$3:$P$17,MATCH('Defensive Summary'!M$1,Output!$A$3:$A$17,0),MATCH('Defensive Summary'!$B15,Output!$B$2:$P$2,0))</f>
        <v>2</v>
      </c>
      <c r="N15" s="24">
        <f>INDEX(Output!$B$3:$P$17,MATCH('Defensive Summary'!N$1,Output!$A$3:$A$17,0),MATCH('Defensive Summary'!$A15,Output!$B$2:$P$2,0))*INDEX(Output!$B$3:$P$17,MATCH('Defensive Summary'!N$1,Output!$A$3:$A$17,0),MATCH('Defensive Summary'!$B15,Output!$B$2:$P$2,0))</f>
        <v>1</v>
      </c>
      <c r="O15" s="24">
        <f>INDEX(Output!$B$3:$P$17,MATCH('Defensive Summary'!O$1,Output!$A$3:$A$17,0),MATCH('Defensive Summary'!$A15,Output!$B$2:$P$2,0))*INDEX(Output!$B$3:$P$17,MATCH('Defensive Summary'!O$1,Output!$A$3:$A$17,0),MATCH('Defensive Summary'!$B15,Output!$B$2:$P$2,0))</f>
        <v>1</v>
      </c>
      <c r="P15" s="24">
        <f>INDEX(Output!$B$3:$P$17,MATCH('Defensive Summary'!P$1,Output!$A$3:$A$17,0),MATCH('Defensive Summary'!$A15,Output!$B$2:$P$2,0))*INDEX(Output!$B$3:$P$17,MATCH('Defensive Summary'!P$1,Output!$A$3:$A$17,0),MATCH('Defensive Summary'!$B15,Output!$B$2:$P$2,0))</f>
        <v>1</v>
      </c>
      <c r="Q15" s="24">
        <f>INDEX(Output!$B$3:$P$17,MATCH('Defensive Summary'!Q$1,Output!$A$3:$A$17,0),MATCH('Defensive Summary'!$A15,Output!$B$2:$P$2,0))*INDEX(Output!$B$3:$P$17,MATCH('Defensive Summary'!Q$1,Output!$A$3:$A$17,0),MATCH('Defensive Summary'!$B15,Output!$B$2:$P$2,0))</f>
        <v>1</v>
      </c>
      <c r="R15" s="24"/>
      <c r="S15" s="25">
        <f t="shared" si="0"/>
        <v>-1</v>
      </c>
      <c r="T15" s="21" t="s">
        <v>0</v>
      </c>
      <c r="U15" s="22" t="s">
        <v>14</v>
      </c>
      <c r="V15" s="24" cm="1">
        <f t="array" ref="V15">_xlfn.IFS(C15=1,0,C15=2,-1,C15=4,-2,C15=0.5,1,C15=0.25,2,C15=0,4)</f>
        <v>1</v>
      </c>
      <c r="W15" s="24" cm="1">
        <f t="array" ref="W15">_xlfn.IFS(D15=1,0,D15=2,-1,D15=4,-2,D15=0.5,1,D15=0.25,2,D15=0,4)</f>
        <v>-1</v>
      </c>
      <c r="X15" s="24" cm="1">
        <f t="array" ref="X15">_xlfn.IFS(E15=1,0,E15=2,-1,E15=4,-2,E15=0.5,1,E15=0.25,2,E15=0,4)</f>
        <v>1</v>
      </c>
      <c r="Y15" s="24" cm="1">
        <f t="array" ref="Y15">_xlfn.IFS(F15=1,0,F15=2,-1,F15=4,-2,F15=0.5,1,F15=0.25,2,F15=0,4)</f>
        <v>-1</v>
      </c>
      <c r="Z15" s="24" cm="1">
        <f t="array" ref="Z15">_xlfn.IFS(G15=1,0,G15=2,-1,G15=4,-2,G15=0.5,1,G15=0.25,2,G15=0,4)</f>
        <v>-1</v>
      </c>
      <c r="AA15" s="24" cm="1">
        <f t="array" ref="AA15">_xlfn.IFS(H15=1,0,H15=2,-1,H15=4,-2,H15=0.5,1,H15=0.25,2,H15=0,4)</f>
        <v>0</v>
      </c>
      <c r="AB15" s="24" cm="1">
        <f t="array" ref="AB15">_xlfn.IFS(I15=1,0,I15=2,-1,I15=4,-2,I15=0.5,1,I15=0.25,2,I15=0,4)</f>
        <v>1</v>
      </c>
      <c r="AC15" s="24" cm="1">
        <f t="array" ref="AC15">_xlfn.IFS(J15=1,0,J15=2,-1,J15=4,-2,J15=0.5,1,J15=0.25,2,J15=0,4)</f>
        <v>-1</v>
      </c>
      <c r="AD15" s="24" cm="1">
        <f t="array" ref="AD15">_xlfn.IFS(K15=1,0,K15=2,-1,K15=4,-2,K15=0.5,1,K15=0.25,2,K15=0,4)</f>
        <v>0</v>
      </c>
      <c r="AE15" s="24" cm="1">
        <f t="array" ref="AE15">_xlfn.IFS(L15=1,0,L15=2,-1,L15=4,-2,L15=0.5,1,L15=0.25,2,L15=0,4)</f>
        <v>1</v>
      </c>
      <c r="AF15" s="24" cm="1">
        <f t="array" ref="AF15">_xlfn.IFS(M15=1,0,M15=2,-1,M15=4,-2,M15=0.5,1,M15=0.25,2,M15=0,4)</f>
        <v>-1</v>
      </c>
      <c r="AG15" s="24" cm="1">
        <f t="array" ref="AG15">_xlfn.IFS(N15=1,0,N15=2,-1,N15=4,-2,N15=0.5,1,N15=0.25,2,N15=0,4)</f>
        <v>0</v>
      </c>
      <c r="AH15" s="24" cm="1">
        <f t="array" ref="AH15">_xlfn.IFS(O15=1,0,O15=2,-1,O15=4,-2,O15=0.5,1,O15=0.25,2,O15=0,4)</f>
        <v>0</v>
      </c>
      <c r="AI15" s="24" cm="1">
        <f t="array" ref="AI15">_xlfn.IFS(P15=1,0,P15=2,-1,P15=4,-2,P15=0.5,1,P15=0.25,2,P15=0,4)</f>
        <v>0</v>
      </c>
      <c r="AJ15" s="24" cm="1">
        <f t="array" ref="AJ15">_xlfn.IFS(Q15=1,0,Q15=2,-1,Q15=4,-2,Q15=0.5,1,Q15=0.25,2,Q15=0,4)</f>
        <v>0</v>
      </c>
    </row>
    <row r="16" spans="1:36" x14ac:dyDescent="0.2">
      <c r="A16" s="21" t="s">
        <v>1</v>
      </c>
      <c r="B16" s="22" t="s">
        <v>2</v>
      </c>
      <c r="C16" s="24">
        <f>INDEX(Output!$B$3:$P$17,MATCH('Defensive Summary'!C$1,Output!$A$3:$A$17,0),MATCH('Defensive Summary'!$A16,Output!$B$2:$P$2,0))*INDEX(Output!$B$3:$P$17,MATCH('Defensive Summary'!C$1,Output!$A$3:$A$17,0),MATCH('Defensive Summary'!$B16,Output!$B$2:$P$2,0))</f>
        <v>1</v>
      </c>
      <c r="D16" s="24">
        <f>INDEX(Output!$B$3:$P$17,MATCH('Defensive Summary'!D$1,Output!$A$3:$A$17,0),MATCH('Defensive Summary'!$A16,Output!$B$2:$P$2,0))*INDEX(Output!$B$3:$P$17,MATCH('Defensive Summary'!D$1,Output!$A$3:$A$17,0),MATCH('Defensive Summary'!$B16,Output!$B$2:$P$2,0))</f>
        <v>0.25</v>
      </c>
      <c r="E16" s="24">
        <f>INDEX(Output!$B$3:$P$17,MATCH('Defensive Summary'!E$1,Output!$A$3:$A$17,0),MATCH('Defensive Summary'!$A16,Output!$B$2:$P$2,0))*INDEX(Output!$B$3:$P$17,MATCH('Defensive Summary'!E$1,Output!$A$3:$A$17,0),MATCH('Defensive Summary'!$B16,Output!$B$2:$P$2,0))</f>
        <v>1</v>
      </c>
      <c r="F16" s="24">
        <f>INDEX(Output!$B$3:$P$17,MATCH('Defensive Summary'!F$1,Output!$A$3:$A$17,0),MATCH('Defensive Summary'!$A16,Output!$B$2:$P$2,0))*INDEX(Output!$B$3:$P$17,MATCH('Defensive Summary'!F$1,Output!$A$3:$A$17,0),MATCH('Defensive Summary'!$B16,Output!$B$2:$P$2,0))</f>
        <v>0.5</v>
      </c>
      <c r="G16" s="24">
        <f>INDEX(Output!$B$3:$P$17,MATCH('Defensive Summary'!G$1,Output!$A$3:$A$17,0),MATCH('Defensive Summary'!$A16,Output!$B$2:$P$2,0))*INDEX(Output!$B$3:$P$17,MATCH('Defensive Summary'!G$1,Output!$A$3:$A$17,0),MATCH('Defensive Summary'!$B16,Output!$B$2:$P$2,0))</f>
        <v>1</v>
      </c>
      <c r="H16" s="24">
        <f>INDEX(Output!$B$3:$P$17,MATCH('Defensive Summary'!H$1,Output!$A$3:$A$17,0),MATCH('Defensive Summary'!$A16,Output!$B$2:$P$2,0))*INDEX(Output!$B$3:$P$17,MATCH('Defensive Summary'!H$1,Output!$A$3:$A$17,0),MATCH('Defensive Summary'!$B16,Output!$B$2:$P$2,0))</f>
        <v>2</v>
      </c>
      <c r="I16" s="24">
        <f>INDEX(Output!$B$3:$P$17,MATCH('Defensive Summary'!I$1,Output!$A$3:$A$17,0),MATCH('Defensive Summary'!$A16,Output!$B$2:$P$2,0))*INDEX(Output!$B$3:$P$17,MATCH('Defensive Summary'!I$1,Output!$A$3:$A$17,0),MATCH('Defensive Summary'!$B16,Output!$B$2:$P$2,0))</f>
        <v>1</v>
      </c>
      <c r="J16" s="24">
        <f>INDEX(Output!$B$3:$P$17,MATCH('Defensive Summary'!J$1,Output!$A$3:$A$17,0),MATCH('Defensive Summary'!$A16,Output!$B$2:$P$2,0))*INDEX(Output!$B$3:$P$17,MATCH('Defensive Summary'!J$1,Output!$A$3:$A$17,0),MATCH('Defensive Summary'!$B16,Output!$B$2:$P$2,0))</f>
        <v>1</v>
      </c>
      <c r="K16" s="24">
        <f>INDEX(Output!$B$3:$P$17,MATCH('Defensive Summary'!K$1,Output!$A$3:$A$17,0),MATCH('Defensive Summary'!$A16,Output!$B$2:$P$2,0))*INDEX(Output!$B$3:$P$17,MATCH('Defensive Summary'!K$1,Output!$A$3:$A$17,0),MATCH('Defensive Summary'!$B16,Output!$B$2:$P$2,0))</f>
        <v>0.5</v>
      </c>
      <c r="L16" s="24">
        <f>INDEX(Output!$B$3:$P$17,MATCH('Defensive Summary'!L$1,Output!$A$3:$A$17,0),MATCH('Defensive Summary'!$A16,Output!$B$2:$P$2,0))*INDEX(Output!$B$3:$P$17,MATCH('Defensive Summary'!L$1,Output!$A$3:$A$17,0),MATCH('Defensive Summary'!$B16,Output!$B$2:$P$2,0))</f>
        <v>1</v>
      </c>
      <c r="M16" s="24">
        <f>INDEX(Output!$B$3:$P$17,MATCH('Defensive Summary'!M$1,Output!$A$3:$A$17,0),MATCH('Defensive Summary'!$A16,Output!$B$2:$P$2,0))*INDEX(Output!$B$3:$P$17,MATCH('Defensive Summary'!M$1,Output!$A$3:$A$17,0),MATCH('Defensive Summary'!$B16,Output!$B$2:$P$2,0))</f>
        <v>1</v>
      </c>
      <c r="N16" s="24">
        <f>INDEX(Output!$B$3:$P$17,MATCH('Defensive Summary'!N$1,Output!$A$3:$A$17,0),MATCH('Defensive Summary'!$A16,Output!$B$2:$P$2,0))*INDEX(Output!$B$3:$P$17,MATCH('Defensive Summary'!N$1,Output!$A$3:$A$17,0),MATCH('Defensive Summary'!$B16,Output!$B$2:$P$2,0))</f>
        <v>1</v>
      </c>
      <c r="O16" s="24">
        <f>INDEX(Output!$B$3:$P$17,MATCH('Defensive Summary'!O$1,Output!$A$3:$A$17,0),MATCH('Defensive Summary'!$A16,Output!$B$2:$P$2,0))*INDEX(Output!$B$3:$P$17,MATCH('Defensive Summary'!O$1,Output!$A$3:$A$17,0),MATCH('Defensive Summary'!$B16,Output!$B$2:$P$2,0))</f>
        <v>0.5</v>
      </c>
      <c r="P16" s="24">
        <f>INDEX(Output!$B$3:$P$17,MATCH('Defensive Summary'!P$1,Output!$A$3:$A$17,0),MATCH('Defensive Summary'!$A16,Output!$B$2:$P$2,0))*INDEX(Output!$B$3:$P$17,MATCH('Defensive Summary'!P$1,Output!$A$3:$A$17,0),MATCH('Defensive Summary'!$B16,Output!$B$2:$P$2,0))</f>
        <v>1</v>
      </c>
      <c r="Q16" s="24">
        <f>INDEX(Output!$B$3:$P$17,MATCH('Defensive Summary'!Q$1,Output!$A$3:$A$17,0),MATCH('Defensive Summary'!$A16,Output!$B$2:$P$2,0))*INDEX(Output!$B$3:$P$17,MATCH('Defensive Summary'!Q$1,Output!$A$3:$A$17,0),MATCH('Defensive Summary'!$B16,Output!$B$2:$P$2,0))</f>
        <v>1</v>
      </c>
      <c r="R16" s="24"/>
      <c r="S16" s="25">
        <f t="shared" si="0"/>
        <v>4</v>
      </c>
      <c r="T16" s="21" t="s">
        <v>1</v>
      </c>
      <c r="U16" s="22" t="s">
        <v>2</v>
      </c>
      <c r="V16" s="24" cm="1">
        <f t="array" ref="V16">_xlfn.IFS(C16=1,0,C16=2,-1,C16=4,-2,C16=0.5,1,C16=0.25,2,C16=0,4)</f>
        <v>0</v>
      </c>
      <c r="W16" s="24" cm="1">
        <f t="array" ref="W16">_xlfn.IFS(D16=1,0,D16=2,-1,D16=4,-2,D16=0.5,1,D16=0.25,2,D16=0,4)</f>
        <v>2</v>
      </c>
      <c r="X16" s="24" cm="1">
        <f t="array" ref="X16">_xlfn.IFS(E16=1,0,E16=2,-1,E16=4,-2,E16=0.5,1,E16=0.25,2,E16=0,4)</f>
        <v>0</v>
      </c>
      <c r="Y16" s="24" cm="1">
        <f t="array" ref="Y16">_xlfn.IFS(F16=1,0,F16=2,-1,F16=4,-2,F16=0.5,1,F16=0.25,2,F16=0,4)</f>
        <v>1</v>
      </c>
      <c r="Z16" s="24" cm="1">
        <f t="array" ref="Z16">_xlfn.IFS(G16=1,0,G16=2,-1,G16=4,-2,G16=0.5,1,G16=0.25,2,G16=0,4)</f>
        <v>0</v>
      </c>
      <c r="AA16" s="24" cm="1">
        <f t="array" ref="AA16">_xlfn.IFS(H16=1,0,H16=2,-1,H16=4,-2,H16=0.5,1,H16=0.25,2,H16=0,4)</f>
        <v>-1</v>
      </c>
      <c r="AB16" s="24" cm="1">
        <f t="array" ref="AB16">_xlfn.IFS(I16=1,0,I16=2,-1,I16=4,-2,I16=0.5,1,I16=0.25,2,I16=0,4)</f>
        <v>0</v>
      </c>
      <c r="AC16" s="24" cm="1">
        <f t="array" ref="AC16">_xlfn.IFS(J16=1,0,J16=2,-1,J16=4,-2,J16=0.5,1,J16=0.25,2,J16=0,4)</f>
        <v>0</v>
      </c>
      <c r="AD16" s="24" cm="1">
        <f t="array" ref="AD16">_xlfn.IFS(K16=1,0,K16=2,-1,K16=4,-2,K16=0.5,1,K16=0.25,2,K16=0,4)</f>
        <v>1</v>
      </c>
      <c r="AE16" s="24" cm="1">
        <f t="array" ref="AE16">_xlfn.IFS(L16=1,0,L16=2,-1,L16=4,-2,L16=0.5,1,L16=0.25,2,L16=0,4)</f>
        <v>0</v>
      </c>
      <c r="AF16" s="24" cm="1">
        <f t="array" ref="AF16">_xlfn.IFS(M16=1,0,M16=2,-1,M16=4,-2,M16=0.5,1,M16=0.25,2,M16=0,4)</f>
        <v>0</v>
      </c>
      <c r="AG16" s="24" cm="1">
        <f t="array" ref="AG16">_xlfn.IFS(N16=1,0,N16=2,-1,N16=4,-2,N16=0.5,1,N16=0.25,2,N16=0,4)</f>
        <v>0</v>
      </c>
      <c r="AH16" s="24" cm="1">
        <f t="array" ref="AH16">_xlfn.IFS(O16=1,0,O16=2,-1,O16=4,-2,O16=0.5,1,O16=0.25,2,O16=0,4)</f>
        <v>1</v>
      </c>
      <c r="AI16" s="24" cm="1">
        <f t="array" ref="AI16">_xlfn.IFS(P16=1,0,P16=2,-1,P16=4,-2,P16=0.5,1,P16=0.25,2,P16=0,4)</f>
        <v>0</v>
      </c>
      <c r="AJ16" s="24" cm="1">
        <f t="array" ref="AJ16">_xlfn.IFS(Q16=1,0,Q16=2,-1,Q16=4,-2,Q16=0.5,1,Q16=0.25,2,Q16=0,4)</f>
        <v>0</v>
      </c>
    </row>
    <row r="17" spans="1:36" x14ac:dyDescent="0.2">
      <c r="A17" s="21" t="s">
        <v>1</v>
      </c>
      <c r="B17" s="22" t="s">
        <v>3</v>
      </c>
      <c r="C17" s="24">
        <f>INDEX(Output!$B$3:$P$17,MATCH('Defensive Summary'!C$1,Output!$A$3:$A$17,0),MATCH('Defensive Summary'!$A17,Output!$B$2:$P$2,0))*INDEX(Output!$B$3:$P$17,MATCH('Defensive Summary'!C$1,Output!$A$3:$A$17,0),MATCH('Defensive Summary'!$B17,Output!$B$2:$P$2,0))</f>
        <v>1</v>
      </c>
      <c r="D17" s="24">
        <f>INDEX(Output!$B$3:$P$17,MATCH('Defensive Summary'!D$1,Output!$A$3:$A$17,0),MATCH('Defensive Summary'!$A17,Output!$B$2:$P$2,0))*INDEX(Output!$B$3:$P$17,MATCH('Defensive Summary'!D$1,Output!$A$3:$A$17,0),MATCH('Defensive Summary'!$B17,Output!$B$2:$P$2,0))</f>
        <v>1</v>
      </c>
      <c r="E17" s="24">
        <f>INDEX(Output!$B$3:$P$17,MATCH('Defensive Summary'!E$1,Output!$A$3:$A$17,0),MATCH('Defensive Summary'!$A17,Output!$B$2:$P$2,0))*INDEX(Output!$B$3:$P$17,MATCH('Defensive Summary'!E$1,Output!$A$3:$A$17,0),MATCH('Defensive Summary'!$B17,Output!$B$2:$P$2,0))</f>
        <v>4</v>
      </c>
      <c r="F17" s="24">
        <f>INDEX(Output!$B$3:$P$17,MATCH('Defensive Summary'!F$1,Output!$A$3:$A$17,0),MATCH('Defensive Summary'!$A17,Output!$B$2:$P$2,0))*INDEX(Output!$B$3:$P$17,MATCH('Defensive Summary'!F$1,Output!$A$3:$A$17,0),MATCH('Defensive Summary'!$B17,Output!$B$2:$P$2,0))</f>
        <v>0.5</v>
      </c>
      <c r="G17" s="24">
        <f>INDEX(Output!$B$3:$P$17,MATCH('Defensive Summary'!G$1,Output!$A$3:$A$17,0),MATCH('Defensive Summary'!$A17,Output!$B$2:$P$2,0))*INDEX(Output!$B$3:$P$17,MATCH('Defensive Summary'!G$1,Output!$A$3:$A$17,0),MATCH('Defensive Summary'!$B17,Output!$B$2:$P$2,0))</f>
        <v>0</v>
      </c>
      <c r="H17" s="24">
        <f>INDEX(Output!$B$3:$P$17,MATCH('Defensive Summary'!H$1,Output!$A$3:$A$17,0),MATCH('Defensive Summary'!$A17,Output!$B$2:$P$2,0))*INDEX(Output!$B$3:$P$17,MATCH('Defensive Summary'!H$1,Output!$A$3:$A$17,0),MATCH('Defensive Summary'!$B17,Output!$B$2:$P$2,0))</f>
        <v>0</v>
      </c>
      <c r="I17" s="24">
        <f>INDEX(Output!$B$3:$P$17,MATCH('Defensive Summary'!I$1,Output!$A$3:$A$17,0),MATCH('Defensive Summary'!$A17,Output!$B$2:$P$2,0))*INDEX(Output!$B$3:$P$17,MATCH('Defensive Summary'!I$1,Output!$A$3:$A$17,0),MATCH('Defensive Summary'!$B17,Output!$B$2:$P$2,0))</f>
        <v>0.25</v>
      </c>
      <c r="J17" s="24">
        <f>INDEX(Output!$B$3:$P$17,MATCH('Defensive Summary'!J$1,Output!$A$3:$A$17,0),MATCH('Defensive Summary'!$A17,Output!$B$2:$P$2,0))*INDEX(Output!$B$3:$P$17,MATCH('Defensive Summary'!J$1,Output!$A$3:$A$17,0),MATCH('Defensive Summary'!$B17,Output!$B$2:$P$2,0))</f>
        <v>0.5</v>
      </c>
      <c r="K17" s="24">
        <f>INDEX(Output!$B$3:$P$17,MATCH('Defensive Summary'!K$1,Output!$A$3:$A$17,0),MATCH('Defensive Summary'!$A17,Output!$B$2:$P$2,0))*INDEX(Output!$B$3:$P$17,MATCH('Defensive Summary'!K$1,Output!$A$3:$A$17,0),MATCH('Defensive Summary'!$B17,Output!$B$2:$P$2,0))</f>
        <v>0.5</v>
      </c>
      <c r="L17" s="24">
        <f>INDEX(Output!$B$3:$P$17,MATCH('Defensive Summary'!L$1,Output!$A$3:$A$17,0),MATCH('Defensive Summary'!$A17,Output!$B$2:$P$2,0))*INDEX(Output!$B$3:$P$17,MATCH('Defensive Summary'!L$1,Output!$A$3:$A$17,0),MATCH('Defensive Summary'!$B17,Output!$B$2:$P$2,0))</f>
        <v>0.5</v>
      </c>
      <c r="M17" s="24">
        <f>INDEX(Output!$B$3:$P$17,MATCH('Defensive Summary'!M$1,Output!$A$3:$A$17,0),MATCH('Defensive Summary'!$A17,Output!$B$2:$P$2,0))*INDEX(Output!$B$3:$P$17,MATCH('Defensive Summary'!M$1,Output!$A$3:$A$17,0),MATCH('Defensive Summary'!$B17,Output!$B$2:$P$2,0))</f>
        <v>1</v>
      </c>
      <c r="N17" s="24">
        <f>INDEX(Output!$B$3:$P$17,MATCH('Defensive Summary'!N$1,Output!$A$3:$A$17,0),MATCH('Defensive Summary'!$A17,Output!$B$2:$P$2,0))*INDEX(Output!$B$3:$P$17,MATCH('Defensive Summary'!N$1,Output!$A$3:$A$17,0),MATCH('Defensive Summary'!$B17,Output!$B$2:$P$2,0))</f>
        <v>1</v>
      </c>
      <c r="O17" s="24">
        <f>INDEX(Output!$B$3:$P$17,MATCH('Defensive Summary'!O$1,Output!$A$3:$A$17,0),MATCH('Defensive Summary'!$A17,Output!$B$2:$P$2,0))*INDEX(Output!$B$3:$P$17,MATCH('Defensive Summary'!O$1,Output!$A$3:$A$17,0),MATCH('Defensive Summary'!$B17,Output!$B$2:$P$2,0))</f>
        <v>0.5</v>
      </c>
      <c r="P17" s="24">
        <f>INDEX(Output!$B$3:$P$17,MATCH('Defensive Summary'!P$1,Output!$A$3:$A$17,0),MATCH('Defensive Summary'!$A17,Output!$B$2:$P$2,0))*INDEX(Output!$B$3:$P$17,MATCH('Defensive Summary'!P$1,Output!$A$3:$A$17,0),MATCH('Defensive Summary'!$B17,Output!$B$2:$P$2,0))</f>
        <v>1</v>
      </c>
      <c r="Q17" s="24">
        <f>INDEX(Output!$B$3:$P$17,MATCH('Defensive Summary'!Q$1,Output!$A$3:$A$17,0),MATCH('Defensive Summary'!$A17,Output!$B$2:$P$2,0))*INDEX(Output!$B$3:$P$17,MATCH('Defensive Summary'!Q$1,Output!$A$3:$A$17,0),MATCH('Defensive Summary'!$B17,Output!$B$2:$P$2,0))</f>
        <v>1</v>
      </c>
      <c r="R17" s="24"/>
      <c r="S17" s="25">
        <f t="shared" si="0"/>
        <v>13</v>
      </c>
      <c r="T17" s="21" t="s">
        <v>1</v>
      </c>
      <c r="U17" s="22" t="s">
        <v>3</v>
      </c>
      <c r="V17" s="24" cm="1">
        <f t="array" ref="V17">_xlfn.IFS(C17=1,0,C17=2,-1,C17=4,-2,C17=0.5,1,C17=0.25,2,C17=0,4)</f>
        <v>0</v>
      </c>
      <c r="W17" s="24" cm="1">
        <f t="array" ref="W17">_xlfn.IFS(D17=1,0,D17=2,-1,D17=4,-2,D17=0.5,1,D17=0.25,2,D17=0,4)</f>
        <v>0</v>
      </c>
      <c r="X17" s="24" cm="1">
        <f t="array" ref="X17">_xlfn.IFS(E17=1,0,E17=2,-1,E17=4,-2,E17=0.5,1,E17=0.25,2,E17=0,4)</f>
        <v>-2</v>
      </c>
      <c r="Y17" s="24" cm="1">
        <f t="array" ref="Y17">_xlfn.IFS(F17=1,0,F17=2,-1,F17=4,-2,F17=0.5,1,F17=0.25,2,F17=0,4)</f>
        <v>1</v>
      </c>
      <c r="Z17" s="24" cm="1">
        <f t="array" ref="Z17">_xlfn.IFS(G17=1,0,G17=2,-1,G17=4,-2,G17=0.5,1,G17=0.25,2,G17=0,4)</f>
        <v>4</v>
      </c>
      <c r="AA17" s="24" cm="1">
        <f t="array" ref="AA17">_xlfn.IFS(H17=1,0,H17=2,-1,H17=4,-2,H17=0.5,1,H17=0.25,2,H17=0,4)</f>
        <v>4</v>
      </c>
      <c r="AB17" s="24" cm="1">
        <f t="array" ref="AB17">_xlfn.IFS(I17=1,0,I17=2,-1,I17=4,-2,I17=0.5,1,I17=0.25,2,I17=0,4)</f>
        <v>2</v>
      </c>
      <c r="AC17" s="24" cm="1">
        <f t="array" ref="AC17">_xlfn.IFS(J17=1,0,J17=2,-1,J17=4,-2,J17=0.5,1,J17=0.25,2,J17=0,4)</f>
        <v>1</v>
      </c>
      <c r="AD17" s="24" cm="1">
        <f t="array" ref="AD17">_xlfn.IFS(K17=1,0,K17=2,-1,K17=4,-2,K17=0.5,1,K17=0.25,2,K17=0,4)</f>
        <v>1</v>
      </c>
      <c r="AE17" s="24" cm="1">
        <f t="array" ref="AE17">_xlfn.IFS(L17=1,0,L17=2,-1,L17=4,-2,L17=0.5,1,L17=0.25,2,L17=0,4)</f>
        <v>1</v>
      </c>
      <c r="AF17" s="24" cm="1">
        <f t="array" ref="AF17">_xlfn.IFS(M17=1,0,M17=2,-1,M17=4,-2,M17=0.5,1,M17=0.25,2,M17=0,4)</f>
        <v>0</v>
      </c>
      <c r="AG17" s="24" cm="1">
        <f t="array" ref="AG17">_xlfn.IFS(N17=1,0,N17=2,-1,N17=4,-2,N17=0.5,1,N17=0.25,2,N17=0,4)</f>
        <v>0</v>
      </c>
      <c r="AH17" s="24" cm="1">
        <f t="array" ref="AH17">_xlfn.IFS(O17=1,0,O17=2,-1,O17=4,-2,O17=0.5,1,O17=0.25,2,O17=0,4)</f>
        <v>1</v>
      </c>
      <c r="AI17" s="24" cm="1">
        <f t="array" ref="AI17">_xlfn.IFS(P17=1,0,P17=2,-1,P17=4,-2,P17=0.5,1,P17=0.25,2,P17=0,4)</f>
        <v>0</v>
      </c>
      <c r="AJ17" s="24" cm="1">
        <f t="array" ref="AJ17">_xlfn.IFS(Q17=1,0,Q17=2,-1,Q17=4,-2,Q17=0.5,1,Q17=0.25,2,Q17=0,4)</f>
        <v>0</v>
      </c>
    </row>
    <row r="18" spans="1:36" x14ac:dyDescent="0.2">
      <c r="A18" s="21" t="s">
        <v>1</v>
      </c>
      <c r="B18" s="22" t="s">
        <v>4</v>
      </c>
      <c r="C18" s="24">
        <f>INDEX(Output!$B$3:$P$17,MATCH('Defensive Summary'!C$1,Output!$A$3:$A$17,0),MATCH('Defensive Summary'!$A18,Output!$B$2:$P$2,0))*INDEX(Output!$B$3:$P$17,MATCH('Defensive Summary'!C$1,Output!$A$3:$A$17,0),MATCH('Defensive Summary'!$B18,Output!$B$2:$P$2,0))</f>
        <v>0.25</v>
      </c>
      <c r="D18" s="24">
        <f>INDEX(Output!$B$3:$P$17,MATCH('Defensive Summary'!D$1,Output!$A$3:$A$17,0),MATCH('Defensive Summary'!$A18,Output!$B$2:$P$2,0))*INDEX(Output!$B$3:$P$17,MATCH('Defensive Summary'!D$1,Output!$A$3:$A$17,0),MATCH('Defensive Summary'!$B18,Output!$B$2:$P$2,0))</f>
        <v>0.5</v>
      </c>
      <c r="E18" s="24">
        <f>INDEX(Output!$B$3:$P$17,MATCH('Defensive Summary'!E$1,Output!$A$3:$A$17,0),MATCH('Defensive Summary'!$A18,Output!$B$2:$P$2,0))*INDEX(Output!$B$3:$P$17,MATCH('Defensive Summary'!E$1,Output!$A$3:$A$17,0),MATCH('Defensive Summary'!$B18,Output!$B$2:$P$2,0))</f>
        <v>1</v>
      </c>
      <c r="F18" s="24">
        <f>INDEX(Output!$B$3:$P$17,MATCH('Defensive Summary'!F$1,Output!$A$3:$A$17,0),MATCH('Defensive Summary'!$A18,Output!$B$2:$P$2,0))*INDEX(Output!$B$3:$P$17,MATCH('Defensive Summary'!F$1,Output!$A$3:$A$17,0),MATCH('Defensive Summary'!$B18,Output!$B$2:$P$2,0))</f>
        <v>0</v>
      </c>
      <c r="G18" s="24">
        <f>INDEX(Output!$B$3:$P$17,MATCH('Defensive Summary'!G$1,Output!$A$3:$A$17,0),MATCH('Defensive Summary'!$A18,Output!$B$2:$P$2,0))*INDEX(Output!$B$3:$P$17,MATCH('Defensive Summary'!G$1,Output!$A$3:$A$17,0),MATCH('Defensive Summary'!$B18,Output!$B$2:$P$2,0))</f>
        <v>0.5</v>
      </c>
      <c r="H18" s="24">
        <f>INDEX(Output!$B$3:$P$17,MATCH('Defensive Summary'!H$1,Output!$A$3:$A$17,0),MATCH('Defensive Summary'!$A18,Output!$B$2:$P$2,0))*INDEX(Output!$B$3:$P$17,MATCH('Defensive Summary'!H$1,Output!$A$3:$A$17,0),MATCH('Defensive Summary'!$B18,Output!$B$2:$P$2,0))</f>
        <v>4</v>
      </c>
      <c r="I18" s="24">
        <f>INDEX(Output!$B$3:$P$17,MATCH('Defensive Summary'!I$1,Output!$A$3:$A$17,0),MATCH('Defensive Summary'!$A18,Output!$B$2:$P$2,0))*INDEX(Output!$B$3:$P$17,MATCH('Defensive Summary'!I$1,Output!$A$3:$A$17,0),MATCH('Defensive Summary'!$B18,Output!$B$2:$P$2,0))</f>
        <v>1</v>
      </c>
      <c r="J18" s="24">
        <f>INDEX(Output!$B$3:$P$17,MATCH('Defensive Summary'!J$1,Output!$A$3:$A$17,0),MATCH('Defensive Summary'!$A18,Output!$B$2:$P$2,0))*INDEX(Output!$B$3:$P$17,MATCH('Defensive Summary'!J$1,Output!$A$3:$A$17,0),MATCH('Defensive Summary'!$B18,Output!$B$2:$P$2,0))</f>
        <v>2</v>
      </c>
      <c r="K18" s="24">
        <f>INDEX(Output!$B$3:$P$17,MATCH('Defensive Summary'!K$1,Output!$A$3:$A$17,0),MATCH('Defensive Summary'!$A18,Output!$B$2:$P$2,0))*INDEX(Output!$B$3:$P$17,MATCH('Defensive Summary'!K$1,Output!$A$3:$A$17,0),MATCH('Defensive Summary'!$B18,Output!$B$2:$P$2,0))</f>
        <v>1</v>
      </c>
      <c r="L18" s="24">
        <f>INDEX(Output!$B$3:$P$17,MATCH('Defensive Summary'!L$1,Output!$A$3:$A$17,0),MATCH('Defensive Summary'!$A18,Output!$B$2:$P$2,0))*INDEX(Output!$B$3:$P$17,MATCH('Defensive Summary'!L$1,Output!$A$3:$A$17,0),MATCH('Defensive Summary'!$B18,Output!$B$2:$P$2,0))</f>
        <v>1</v>
      </c>
      <c r="M18" s="24">
        <f>INDEX(Output!$B$3:$P$17,MATCH('Defensive Summary'!M$1,Output!$A$3:$A$17,0),MATCH('Defensive Summary'!$A18,Output!$B$2:$P$2,0))*INDEX(Output!$B$3:$P$17,MATCH('Defensive Summary'!M$1,Output!$A$3:$A$17,0),MATCH('Defensive Summary'!$B18,Output!$B$2:$P$2,0))</f>
        <v>2</v>
      </c>
      <c r="N18" s="24">
        <f>INDEX(Output!$B$3:$P$17,MATCH('Defensive Summary'!N$1,Output!$A$3:$A$17,0),MATCH('Defensive Summary'!$A18,Output!$B$2:$P$2,0))*INDEX(Output!$B$3:$P$17,MATCH('Defensive Summary'!N$1,Output!$A$3:$A$17,0),MATCH('Defensive Summary'!$B18,Output!$B$2:$P$2,0))</f>
        <v>2</v>
      </c>
      <c r="O18" s="24">
        <f>INDEX(Output!$B$3:$P$17,MATCH('Defensive Summary'!O$1,Output!$A$3:$A$17,0),MATCH('Defensive Summary'!$A18,Output!$B$2:$P$2,0))*INDEX(Output!$B$3:$P$17,MATCH('Defensive Summary'!O$1,Output!$A$3:$A$17,0),MATCH('Defensive Summary'!$B18,Output!$B$2:$P$2,0))</f>
        <v>0.5</v>
      </c>
      <c r="P18" s="24">
        <f>INDEX(Output!$B$3:$P$17,MATCH('Defensive Summary'!P$1,Output!$A$3:$A$17,0),MATCH('Defensive Summary'!$A18,Output!$B$2:$P$2,0))*INDEX(Output!$B$3:$P$17,MATCH('Defensive Summary'!P$1,Output!$A$3:$A$17,0),MATCH('Defensive Summary'!$B18,Output!$B$2:$P$2,0))</f>
        <v>2</v>
      </c>
      <c r="Q18" s="24">
        <f>INDEX(Output!$B$3:$P$17,MATCH('Defensive Summary'!Q$1,Output!$A$3:$A$17,0),MATCH('Defensive Summary'!$A18,Output!$B$2:$P$2,0))*INDEX(Output!$B$3:$P$17,MATCH('Defensive Summary'!Q$1,Output!$A$3:$A$17,0),MATCH('Defensive Summary'!$B18,Output!$B$2:$P$2,0))</f>
        <v>1</v>
      </c>
      <c r="R18" s="24"/>
      <c r="S18" s="25">
        <f t="shared" si="0"/>
        <v>3</v>
      </c>
      <c r="T18" s="21" t="s">
        <v>1</v>
      </c>
      <c r="U18" s="22" t="s">
        <v>4</v>
      </c>
      <c r="V18" s="24" cm="1">
        <f t="array" ref="V18">_xlfn.IFS(C18=1,0,C18=2,-1,C18=4,-2,C18=0.5,1,C18=0.25,2,C18=0,4)</f>
        <v>2</v>
      </c>
      <c r="W18" s="24" cm="1">
        <f t="array" ref="W18">_xlfn.IFS(D18=1,0,D18=2,-1,D18=4,-2,D18=0.5,1,D18=0.25,2,D18=0,4)</f>
        <v>1</v>
      </c>
      <c r="X18" s="24" cm="1">
        <f t="array" ref="X18">_xlfn.IFS(E18=1,0,E18=2,-1,E18=4,-2,E18=0.5,1,E18=0.25,2,E18=0,4)</f>
        <v>0</v>
      </c>
      <c r="Y18" s="24" cm="1">
        <f t="array" ref="Y18">_xlfn.IFS(F18=1,0,F18=2,-1,F18=4,-2,F18=0.5,1,F18=0.25,2,F18=0,4)</f>
        <v>4</v>
      </c>
      <c r="Z18" s="24" cm="1">
        <f t="array" ref="Z18">_xlfn.IFS(G18=1,0,G18=2,-1,G18=4,-2,G18=0.5,1,G18=0.25,2,G18=0,4)</f>
        <v>1</v>
      </c>
      <c r="AA18" s="24" cm="1">
        <f t="array" ref="AA18">_xlfn.IFS(H18=1,0,H18=2,-1,H18=4,-2,H18=0.5,1,H18=0.25,2,H18=0,4)</f>
        <v>-2</v>
      </c>
      <c r="AB18" s="24" cm="1">
        <f t="array" ref="AB18">_xlfn.IFS(I18=1,0,I18=2,-1,I18=4,-2,I18=0.5,1,I18=0.25,2,I18=0,4)</f>
        <v>0</v>
      </c>
      <c r="AC18" s="24" cm="1">
        <f t="array" ref="AC18">_xlfn.IFS(J18=1,0,J18=2,-1,J18=4,-2,J18=0.5,1,J18=0.25,2,J18=0,4)</f>
        <v>-1</v>
      </c>
      <c r="AD18" s="24" cm="1">
        <f t="array" ref="AD18">_xlfn.IFS(K18=1,0,K18=2,-1,K18=4,-2,K18=0.5,1,K18=0.25,2,K18=0,4)</f>
        <v>0</v>
      </c>
      <c r="AE18" s="24" cm="1">
        <f t="array" ref="AE18">_xlfn.IFS(L18=1,0,L18=2,-1,L18=4,-2,L18=0.5,1,L18=0.25,2,L18=0,4)</f>
        <v>0</v>
      </c>
      <c r="AF18" s="24" cm="1">
        <f t="array" ref="AF18">_xlfn.IFS(M18=1,0,M18=2,-1,M18=4,-2,M18=0.5,1,M18=0.25,2,M18=0,4)</f>
        <v>-1</v>
      </c>
      <c r="AG18" s="24" cm="1">
        <f t="array" ref="AG18">_xlfn.IFS(N18=1,0,N18=2,-1,N18=4,-2,N18=0.5,1,N18=0.25,2,N18=0,4)</f>
        <v>-1</v>
      </c>
      <c r="AH18" s="24" cm="1">
        <f t="array" ref="AH18">_xlfn.IFS(O18=1,0,O18=2,-1,O18=4,-2,O18=0.5,1,O18=0.25,2,O18=0,4)</f>
        <v>1</v>
      </c>
      <c r="AI18" s="24" cm="1">
        <f t="array" ref="AI18">_xlfn.IFS(P18=1,0,P18=2,-1,P18=4,-2,P18=0.5,1,P18=0.25,2,P18=0,4)</f>
        <v>-1</v>
      </c>
      <c r="AJ18" s="24" cm="1">
        <f t="array" ref="AJ18">_xlfn.IFS(Q18=1,0,Q18=2,-1,Q18=4,-2,Q18=0.5,1,Q18=0.25,2,Q18=0,4)</f>
        <v>0</v>
      </c>
    </row>
    <row r="19" spans="1:36" x14ac:dyDescent="0.2">
      <c r="A19" s="21" t="s">
        <v>1</v>
      </c>
      <c r="B19" s="22" t="s">
        <v>96</v>
      </c>
      <c r="C19" s="24">
        <f>INDEX(Output!$B$3:$P$17,MATCH('Defensive Summary'!C$1,Output!$A$3:$A$17,0),MATCH('Defensive Summary'!$A19,Output!$B$2:$P$2,0))*INDEX(Output!$B$3:$P$17,MATCH('Defensive Summary'!C$1,Output!$A$3:$A$17,0),MATCH('Defensive Summary'!$B19,Output!$B$2:$P$2,0))</f>
        <v>0.5</v>
      </c>
      <c r="D19" s="24">
        <f>INDEX(Output!$B$3:$P$17,MATCH('Defensive Summary'!D$1,Output!$A$3:$A$17,0),MATCH('Defensive Summary'!$A19,Output!$B$2:$P$2,0))*INDEX(Output!$B$3:$P$17,MATCH('Defensive Summary'!D$1,Output!$A$3:$A$17,0),MATCH('Defensive Summary'!$B19,Output!$B$2:$P$2,0))</f>
        <v>0.5</v>
      </c>
      <c r="E19" s="24">
        <f>INDEX(Output!$B$3:$P$17,MATCH('Defensive Summary'!E$1,Output!$A$3:$A$17,0),MATCH('Defensive Summary'!$A19,Output!$B$2:$P$2,0))*INDEX(Output!$B$3:$P$17,MATCH('Defensive Summary'!E$1,Output!$A$3:$A$17,0),MATCH('Defensive Summary'!$B19,Output!$B$2:$P$2,0))</f>
        <v>2</v>
      </c>
      <c r="F19" s="24">
        <f>INDEX(Output!$B$3:$P$17,MATCH('Defensive Summary'!F$1,Output!$A$3:$A$17,0),MATCH('Defensive Summary'!$A19,Output!$B$2:$P$2,0))*INDEX(Output!$B$3:$P$17,MATCH('Defensive Summary'!F$1,Output!$A$3:$A$17,0),MATCH('Defensive Summary'!$B19,Output!$B$2:$P$2,0))</f>
        <v>2</v>
      </c>
      <c r="G19" s="24">
        <f>INDEX(Output!$B$3:$P$17,MATCH('Defensive Summary'!G$1,Output!$A$3:$A$17,0),MATCH('Defensive Summary'!$A19,Output!$B$2:$P$2,0))*INDEX(Output!$B$3:$P$17,MATCH('Defensive Summary'!G$1,Output!$A$3:$A$17,0),MATCH('Defensive Summary'!$B19,Output!$B$2:$P$2,0))</f>
        <v>1</v>
      </c>
      <c r="H19" s="24">
        <f>INDEX(Output!$B$3:$P$17,MATCH('Defensive Summary'!H$1,Output!$A$3:$A$17,0),MATCH('Defensive Summary'!$A19,Output!$B$2:$P$2,0))*INDEX(Output!$B$3:$P$17,MATCH('Defensive Summary'!H$1,Output!$A$3:$A$17,0),MATCH('Defensive Summary'!$B19,Output!$B$2:$P$2,0))</f>
        <v>1</v>
      </c>
      <c r="I19" s="24">
        <f>INDEX(Output!$B$3:$P$17,MATCH('Defensive Summary'!I$1,Output!$A$3:$A$17,0),MATCH('Defensive Summary'!$A19,Output!$B$2:$P$2,0))*INDEX(Output!$B$3:$P$17,MATCH('Defensive Summary'!I$1,Output!$A$3:$A$17,0),MATCH('Defensive Summary'!$B19,Output!$B$2:$P$2,0))</f>
        <v>0.25</v>
      </c>
      <c r="J19" s="24">
        <f>INDEX(Output!$B$3:$P$17,MATCH('Defensive Summary'!J$1,Output!$A$3:$A$17,0),MATCH('Defensive Summary'!$A19,Output!$B$2:$P$2,0))*INDEX(Output!$B$3:$P$17,MATCH('Defensive Summary'!J$1,Output!$A$3:$A$17,0),MATCH('Defensive Summary'!$B19,Output!$B$2:$P$2,0))</f>
        <v>2</v>
      </c>
      <c r="K19" s="24">
        <f>INDEX(Output!$B$3:$P$17,MATCH('Defensive Summary'!K$1,Output!$A$3:$A$17,0),MATCH('Defensive Summary'!$A19,Output!$B$2:$P$2,0))*INDEX(Output!$B$3:$P$17,MATCH('Defensive Summary'!K$1,Output!$A$3:$A$17,0),MATCH('Defensive Summary'!$B19,Output!$B$2:$P$2,0))</f>
        <v>0.5</v>
      </c>
      <c r="L19" s="24">
        <f>INDEX(Output!$B$3:$P$17,MATCH('Defensive Summary'!L$1,Output!$A$3:$A$17,0),MATCH('Defensive Summary'!$A19,Output!$B$2:$P$2,0))*INDEX(Output!$B$3:$P$17,MATCH('Defensive Summary'!L$1,Output!$A$3:$A$17,0),MATCH('Defensive Summary'!$B19,Output!$B$2:$P$2,0))</f>
        <v>2</v>
      </c>
      <c r="M19" s="24">
        <f>INDEX(Output!$B$3:$P$17,MATCH('Defensive Summary'!M$1,Output!$A$3:$A$17,0),MATCH('Defensive Summary'!$A19,Output!$B$2:$P$2,0))*INDEX(Output!$B$3:$P$17,MATCH('Defensive Summary'!M$1,Output!$A$3:$A$17,0),MATCH('Defensive Summary'!$B19,Output!$B$2:$P$2,0))</f>
        <v>0.5</v>
      </c>
      <c r="N19" s="24">
        <f>INDEX(Output!$B$3:$P$17,MATCH('Defensive Summary'!N$1,Output!$A$3:$A$17,0),MATCH('Defensive Summary'!$A19,Output!$B$2:$P$2,0))*INDEX(Output!$B$3:$P$17,MATCH('Defensive Summary'!N$1,Output!$A$3:$A$17,0),MATCH('Defensive Summary'!$B19,Output!$B$2:$P$2,0))</f>
        <v>1</v>
      </c>
      <c r="O19" s="24">
        <f>INDEX(Output!$B$3:$P$17,MATCH('Defensive Summary'!O$1,Output!$A$3:$A$17,0),MATCH('Defensive Summary'!$A19,Output!$B$2:$P$2,0))*INDEX(Output!$B$3:$P$17,MATCH('Defensive Summary'!O$1,Output!$A$3:$A$17,0),MATCH('Defensive Summary'!$B19,Output!$B$2:$P$2,0))</f>
        <v>0.5</v>
      </c>
      <c r="P19" s="24">
        <f>INDEX(Output!$B$3:$P$17,MATCH('Defensive Summary'!P$1,Output!$A$3:$A$17,0),MATCH('Defensive Summary'!$A19,Output!$B$2:$P$2,0))*INDEX(Output!$B$3:$P$17,MATCH('Defensive Summary'!P$1,Output!$A$3:$A$17,0),MATCH('Defensive Summary'!$B19,Output!$B$2:$P$2,0))</f>
        <v>1</v>
      </c>
      <c r="Q19" s="24">
        <f>INDEX(Output!$B$3:$P$17,MATCH('Defensive Summary'!Q$1,Output!$A$3:$A$17,0),MATCH('Defensive Summary'!$A19,Output!$B$2:$P$2,0))*INDEX(Output!$B$3:$P$17,MATCH('Defensive Summary'!Q$1,Output!$A$3:$A$17,0),MATCH('Defensive Summary'!$B19,Output!$B$2:$P$2,0))</f>
        <v>1</v>
      </c>
      <c r="R19" s="24"/>
      <c r="S19" s="25">
        <f t="shared" si="0"/>
        <v>3</v>
      </c>
      <c r="T19" s="21" t="s">
        <v>1</v>
      </c>
      <c r="U19" s="22" t="s">
        <v>96</v>
      </c>
      <c r="V19" s="24" cm="1">
        <f t="array" ref="V19">_xlfn.IFS(C19=1,0,C19=2,-1,C19=4,-2,C19=0.5,1,C19=0.25,2,C19=0,4)</f>
        <v>1</v>
      </c>
      <c r="W19" s="24" cm="1">
        <f t="array" ref="W19">_xlfn.IFS(D19=1,0,D19=2,-1,D19=4,-2,D19=0.5,1,D19=0.25,2,D19=0,4)</f>
        <v>1</v>
      </c>
      <c r="X19" s="24" cm="1">
        <f t="array" ref="X19">_xlfn.IFS(E19=1,0,E19=2,-1,E19=4,-2,E19=0.5,1,E19=0.25,2,E19=0,4)</f>
        <v>-1</v>
      </c>
      <c r="Y19" s="24" cm="1">
        <f t="array" ref="Y19">_xlfn.IFS(F19=1,0,F19=2,-1,F19=4,-2,F19=0.5,1,F19=0.25,2,F19=0,4)</f>
        <v>-1</v>
      </c>
      <c r="Z19" s="24" cm="1">
        <f t="array" ref="Z19">_xlfn.IFS(G19=1,0,G19=2,-1,G19=4,-2,G19=0.5,1,G19=0.25,2,G19=0,4)</f>
        <v>0</v>
      </c>
      <c r="AA19" s="24" cm="1">
        <f t="array" ref="AA19">_xlfn.IFS(H19=1,0,H19=2,-1,H19=4,-2,H19=0.5,1,H19=0.25,2,H19=0,4)</f>
        <v>0</v>
      </c>
      <c r="AB19" s="24" cm="1">
        <f t="array" ref="AB19">_xlfn.IFS(I19=1,0,I19=2,-1,I19=4,-2,I19=0.5,1,I19=0.25,2,I19=0,4)</f>
        <v>2</v>
      </c>
      <c r="AC19" s="24" cm="1">
        <f t="array" ref="AC19">_xlfn.IFS(J19=1,0,J19=2,-1,J19=4,-2,J19=0.5,1,J19=0.25,2,J19=0,4)</f>
        <v>-1</v>
      </c>
      <c r="AD19" s="24" cm="1">
        <f t="array" ref="AD19">_xlfn.IFS(K19=1,0,K19=2,-1,K19=4,-2,K19=0.5,1,K19=0.25,2,K19=0,4)</f>
        <v>1</v>
      </c>
      <c r="AE19" s="24" cm="1">
        <f t="array" ref="AE19">_xlfn.IFS(L19=1,0,L19=2,-1,L19=4,-2,L19=0.5,1,L19=0.25,2,L19=0,4)</f>
        <v>-1</v>
      </c>
      <c r="AF19" s="24" cm="1">
        <f t="array" ref="AF19">_xlfn.IFS(M19=1,0,M19=2,-1,M19=4,-2,M19=0.5,1,M19=0.25,2,M19=0,4)</f>
        <v>1</v>
      </c>
      <c r="AG19" s="24" cm="1">
        <f t="array" ref="AG19">_xlfn.IFS(N19=1,0,N19=2,-1,N19=4,-2,N19=0.5,1,N19=0.25,2,N19=0,4)</f>
        <v>0</v>
      </c>
      <c r="AH19" s="24" cm="1">
        <f t="array" ref="AH19">_xlfn.IFS(O19=1,0,O19=2,-1,O19=4,-2,O19=0.5,1,O19=0.25,2,O19=0,4)</f>
        <v>1</v>
      </c>
      <c r="AI19" s="24" cm="1">
        <f t="array" ref="AI19">_xlfn.IFS(P19=1,0,P19=2,-1,P19=4,-2,P19=0.5,1,P19=0.25,2,P19=0,4)</f>
        <v>0</v>
      </c>
      <c r="AJ19" s="24" cm="1">
        <f t="array" ref="AJ19">_xlfn.IFS(Q19=1,0,Q19=2,-1,Q19=4,-2,Q19=0.5,1,Q19=0.25,2,Q19=0,4)</f>
        <v>0</v>
      </c>
    </row>
    <row r="20" spans="1:36" x14ac:dyDescent="0.2">
      <c r="A20" s="21" t="s">
        <v>1</v>
      </c>
      <c r="B20" s="22" t="s">
        <v>6</v>
      </c>
      <c r="C20" s="24">
        <f>INDEX(Output!$B$3:$P$17,MATCH('Defensive Summary'!C$1,Output!$A$3:$A$17,0),MATCH('Defensive Summary'!$A20,Output!$B$2:$P$2,0))*INDEX(Output!$B$3:$P$17,MATCH('Defensive Summary'!C$1,Output!$A$3:$A$17,0),MATCH('Defensive Summary'!$B20,Output!$B$2:$P$2,0))</f>
        <v>1</v>
      </c>
      <c r="D20" s="24">
        <f>INDEX(Output!$B$3:$P$17,MATCH('Defensive Summary'!D$1,Output!$A$3:$A$17,0),MATCH('Defensive Summary'!$A20,Output!$B$2:$P$2,0))*INDEX(Output!$B$3:$P$17,MATCH('Defensive Summary'!D$1,Output!$A$3:$A$17,0),MATCH('Defensive Summary'!$B20,Output!$B$2:$P$2,0))</f>
        <v>0.25</v>
      </c>
      <c r="E20" s="24">
        <f>INDEX(Output!$B$3:$P$17,MATCH('Defensive Summary'!E$1,Output!$A$3:$A$17,0),MATCH('Defensive Summary'!$A20,Output!$B$2:$P$2,0))*INDEX(Output!$B$3:$P$17,MATCH('Defensive Summary'!E$1,Output!$A$3:$A$17,0),MATCH('Defensive Summary'!$B20,Output!$B$2:$P$2,0))</f>
        <v>1</v>
      </c>
      <c r="F20" s="24">
        <f>INDEX(Output!$B$3:$P$17,MATCH('Defensive Summary'!F$1,Output!$A$3:$A$17,0),MATCH('Defensive Summary'!$A20,Output!$B$2:$P$2,0))*INDEX(Output!$B$3:$P$17,MATCH('Defensive Summary'!F$1,Output!$A$3:$A$17,0),MATCH('Defensive Summary'!$B20,Output!$B$2:$P$2,0))</f>
        <v>0.5</v>
      </c>
      <c r="G20" s="24">
        <f>INDEX(Output!$B$3:$P$17,MATCH('Defensive Summary'!G$1,Output!$A$3:$A$17,0),MATCH('Defensive Summary'!$A20,Output!$B$2:$P$2,0))*INDEX(Output!$B$3:$P$17,MATCH('Defensive Summary'!G$1,Output!$A$3:$A$17,0),MATCH('Defensive Summary'!$B20,Output!$B$2:$P$2,0))</f>
        <v>2</v>
      </c>
      <c r="H20" s="24">
        <f>INDEX(Output!$B$3:$P$17,MATCH('Defensive Summary'!H$1,Output!$A$3:$A$17,0),MATCH('Defensive Summary'!$A20,Output!$B$2:$P$2,0))*INDEX(Output!$B$3:$P$17,MATCH('Defensive Summary'!H$1,Output!$A$3:$A$17,0),MATCH('Defensive Summary'!$B20,Output!$B$2:$P$2,0))</f>
        <v>1</v>
      </c>
      <c r="I20" s="24">
        <f>INDEX(Output!$B$3:$P$17,MATCH('Defensive Summary'!I$1,Output!$A$3:$A$17,0),MATCH('Defensive Summary'!$A20,Output!$B$2:$P$2,0))*INDEX(Output!$B$3:$P$17,MATCH('Defensive Summary'!I$1,Output!$A$3:$A$17,0),MATCH('Defensive Summary'!$B20,Output!$B$2:$P$2,0))</f>
        <v>0.25</v>
      </c>
      <c r="J20" s="24">
        <f>INDEX(Output!$B$3:$P$17,MATCH('Defensive Summary'!J$1,Output!$A$3:$A$17,0),MATCH('Defensive Summary'!$A20,Output!$B$2:$P$2,0))*INDEX(Output!$B$3:$P$17,MATCH('Defensive Summary'!J$1,Output!$A$3:$A$17,0),MATCH('Defensive Summary'!$B20,Output!$B$2:$P$2,0))</f>
        <v>1</v>
      </c>
      <c r="K20" s="24">
        <f>INDEX(Output!$B$3:$P$17,MATCH('Defensive Summary'!K$1,Output!$A$3:$A$17,0),MATCH('Defensive Summary'!$A20,Output!$B$2:$P$2,0))*INDEX(Output!$B$3:$P$17,MATCH('Defensive Summary'!K$1,Output!$A$3:$A$17,0),MATCH('Defensive Summary'!$B20,Output!$B$2:$P$2,0))</f>
        <v>1</v>
      </c>
      <c r="L20" s="24">
        <f>INDEX(Output!$B$3:$P$17,MATCH('Defensive Summary'!L$1,Output!$A$3:$A$17,0),MATCH('Defensive Summary'!$A20,Output!$B$2:$P$2,0))*INDEX(Output!$B$3:$P$17,MATCH('Defensive Summary'!L$1,Output!$A$3:$A$17,0),MATCH('Defensive Summary'!$B20,Output!$B$2:$P$2,0))</f>
        <v>1</v>
      </c>
      <c r="M20" s="24">
        <f>INDEX(Output!$B$3:$P$17,MATCH('Defensive Summary'!M$1,Output!$A$3:$A$17,0),MATCH('Defensive Summary'!$A20,Output!$B$2:$P$2,0))*INDEX(Output!$B$3:$P$17,MATCH('Defensive Summary'!M$1,Output!$A$3:$A$17,0),MATCH('Defensive Summary'!$B20,Output!$B$2:$P$2,0))</f>
        <v>0.5</v>
      </c>
      <c r="N20" s="24">
        <f>INDEX(Output!$B$3:$P$17,MATCH('Defensive Summary'!N$1,Output!$A$3:$A$17,0),MATCH('Defensive Summary'!$A20,Output!$B$2:$P$2,0))*INDEX(Output!$B$3:$P$17,MATCH('Defensive Summary'!N$1,Output!$A$3:$A$17,0),MATCH('Defensive Summary'!$B20,Output!$B$2:$P$2,0))</f>
        <v>1</v>
      </c>
      <c r="O20" s="24">
        <f>INDEX(Output!$B$3:$P$17,MATCH('Defensive Summary'!O$1,Output!$A$3:$A$17,0),MATCH('Defensive Summary'!$A20,Output!$B$2:$P$2,0))*INDEX(Output!$B$3:$P$17,MATCH('Defensive Summary'!O$1,Output!$A$3:$A$17,0),MATCH('Defensive Summary'!$B20,Output!$B$2:$P$2,0))</f>
        <v>0.5</v>
      </c>
      <c r="P20" s="24">
        <f>INDEX(Output!$B$3:$P$17,MATCH('Defensive Summary'!P$1,Output!$A$3:$A$17,0),MATCH('Defensive Summary'!$A20,Output!$B$2:$P$2,0))*INDEX(Output!$B$3:$P$17,MATCH('Defensive Summary'!P$1,Output!$A$3:$A$17,0),MATCH('Defensive Summary'!$B20,Output!$B$2:$P$2,0))</f>
        <v>0.5</v>
      </c>
      <c r="Q20" s="24">
        <f>INDEX(Output!$B$3:$P$17,MATCH('Defensive Summary'!Q$1,Output!$A$3:$A$17,0),MATCH('Defensive Summary'!$A20,Output!$B$2:$P$2,0))*INDEX(Output!$B$3:$P$17,MATCH('Defensive Summary'!Q$1,Output!$A$3:$A$17,0),MATCH('Defensive Summary'!$B20,Output!$B$2:$P$2,0))</f>
        <v>1</v>
      </c>
      <c r="R20" s="24"/>
      <c r="S20" s="25">
        <f t="shared" si="0"/>
        <v>7</v>
      </c>
      <c r="T20" s="21" t="s">
        <v>1</v>
      </c>
      <c r="U20" s="22" t="s">
        <v>6</v>
      </c>
      <c r="V20" s="24" cm="1">
        <f t="array" ref="V20">_xlfn.IFS(C20=1,0,C20=2,-1,C20=4,-2,C20=0.5,1,C20=0.25,2,C20=0,4)</f>
        <v>0</v>
      </c>
      <c r="W20" s="24" cm="1">
        <f t="array" ref="W20">_xlfn.IFS(D20=1,0,D20=2,-1,D20=4,-2,D20=0.5,1,D20=0.25,2,D20=0,4)</f>
        <v>2</v>
      </c>
      <c r="X20" s="24" cm="1">
        <f t="array" ref="X20">_xlfn.IFS(E20=1,0,E20=2,-1,E20=4,-2,E20=0.5,1,E20=0.25,2,E20=0,4)</f>
        <v>0</v>
      </c>
      <c r="Y20" s="24" cm="1">
        <f t="array" ref="Y20">_xlfn.IFS(F20=1,0,F20=2,-1,F20=4,-2,F20=0.5,1,F20=0.25,2,F20=0,4)</f>
        <v>1</v>
      </c>
      <c r="Z20" s="24" cm="1">
        <f t="array" ref="Z20">_xlfn.IFS(G20=1,0,G20=2,-1,G20=4,-2,G20=0.5,1,G20=0.25,2,G20=0,4)</f>
        <v>-1</v>
      </c>
      <c r="AA20" s="24" cm="1">
        <f t="array" ref="AA20">_xlfn.IFS(H20=1,0,H20=2,-1,H20=4,-2,H20=0.5,1,H20=0.25,2,H20=0,4)</f>
        <v>0</v>
      </c>
      <c r="AB20" s="24" cm="1">
        <f t="array" ref="AB20">_xlfn.IFS(I20=1,0,I20=2,-1,I20=4,-2,I20=0.5,1,I20=0.25,2,I20=0,4)</f>
        <v>2</v>
      </c>
      <c r="AC20" s="24" cm="1">
        <f t="array" ref="AC20">_xlfn.IFS(J20=1,0,J20=2,-1,J20=4,-2,J20=0.5,1,J20=0.25,2,J20=0,4)</f>
        <v>0</v>
      </c>
      <c r="AD20" s="24" cm="1">
        <f t="array" ref="AD20">_xlfn.IFS(K20=1,0,K20=2,-1,K20=4,-2,K20=0.5,1,K20=0.25,2,K20=0,4)</f>
        <v>0</v>
      </c>
      <c r="AE20" s="24" cm="1">
        <f t="array" ref="AE20">_xlfn.IFS(L20=1,0,L20=2,-1,L20=4,-2,L20=0.5,1,L20=0.25,2,L20=0,4)</f>
        <v>0</v>
      </c>
      <c r="AF20" s="24" cm="1">
        <f t="array" ref="AF20">_xlfn.IFS(M20=1,0,M20=2,-1,M20=4,-2,M20=0.5,1,M20=0.25,2,M20=0,4)</f>
        <v>1</v>
      </c>
      <c r="AG20" s="24" cm="1">
        <f t="array" ref="AG20">_xlfn.IFS(N20=1,0,N20=2,-1,N20=4,-2,N20=0.5,1,N20=0.25,2,N20=0,4)</f>
        <v>0</v>
      </c>
      <c r="AH20" s="24" cm="1">
        <f t="array" ref="AH20">_xlfn.IFS(O20=1,0,O20=2,-1,O20=4,-2,O20=0.5,1,O20=0.25,2,O20=0,4)</f>
        <v>1</v>
      </c>
      <c r="AI20" s="24" cm="1">
        <f t="array" ref="AI20">_xlfn.IFS(P20=1,0,P20=2,-1,P20=4,-2,P20=0.5,1,P20=0.25,2,P20=0,4)</f>
        <v>1</v>
      </c>
      <c r="AJ20" s="24" cm="1">
        <f t="array" ref="AJ20">_xlfn.IFS(Q20=1,0,Q20=2,-1,Q20=4,-2,Q20=0.5,1,Q20=0.25,2,Q20=0,4)</f>
        <v>0</v>
      </c>
    </row>
    <row r="21" spans="1:36" x14ac:dyDescent="0.2">
      <c r="A21" s="21" t="s">
        <v>1</v>
      </c>
      <c r="B21" s="22" t="s">
        <v>7</v>
      </c>
      <c r="C21" s="24">
        <f>INDEX(Output!$B$3:$P$17,MATCH('Defensive Summary'!C$1,Output!$A$3:$A$17,0),MATCH('Defensive Summary'!$A21,Output!$B$2:$P$2,0))*INDEX(Output!$B$3:$P$17,MATCH('Defensive Summary'!C$1,Output!$A$3:$A$17,0),MATCH('Defensive Summary'!$B21,Output!$B$2:$P$2,0))</f>
        <v>0.5</v>
      </c>
      <c r="D21" s="24">
        <f>INDEX(Output!$B$3:$P$17,MATCH('Defensive Summary'!D$1,Output!$A$3:$A$17,0),MATCH('Defensive Summary'!$A21,Output!$B$2:$P$2,0))*INDEX(Output!$B$3:$P$17,MATCH('Defensive Summary'!D$1,Output!$A$3:$A$17,0),MATCH('Defensive Summary'!$B21,Output!$B$2:$P$2,0))</f>
        <v>0.5</v>
      </c>
      <c r="E21" s="24">
        <f>INDEX(Output!$B$3:$P$17,MATCH('Defensive Summary'!E$1,Output!$A$3:$A$17,0),MATCH('Defensive Summary'!$A21,Output!$B$2:$P$2,0))*INDEX(Output!$B$3:$P$17,MATCH('Defensive Summary'!E$1,Output!$A$3:$A$17,0),MATCH('Defensive Summary'!$B21,Output!$B$2:$P$2,0))</f>
        <v>2</v>
      </c>
      <c r="F21" s="24">
        <f>INDEX(Output!$B$3:$P$17,MATCH('Defensive Summary'!F$1,Output!$A$3:$A$17,0),MATCH('Defensive Summary'!$A21,Output!$B$2:$P$2,0))*INDEX(Output!$B$3:$P$17,MATCH('Defensive Summary'!F$1,Output!$A$3:$A$17,0),MATCH('Defensive Summary'!$B21,Output!$B$2:$P$2,0))</f>
        <v>0.5</v>
      </c>
      <c r="G21" s="24">
        <f>INDEX(Output!$B$3:$P$17,MATCH('Defensive Summary'!G$1,Output!$A$3:$A$17,0),MATCH('Defensive Summary'!$A21,Output!$B$2:$P$2,0))*INDEX(Output!$B$3:$P$17,MATCH('Defensive Summary'!G$1,Output!$A$3:$A$17,0),MATCH('Defensive Summary'!$B21,Output!$B$2:$P$2,0))</f>
        <v>1</v>
      </c>
      <c r="H21" s="24">
        <f>INDEX(Output!$B$3:$P$17,MATCH('Defensive Summary'!H$1,Output!$A$3:$A$17,0),MATCH('Defensive Summary'!$A21,Output!$B$2:$P$2,0))*INDEX(Output!$B$3:$P$17,MATCH('Defensive Summary'!H$1,Output!$A$3:$A$17,0),MATCH('Defensive Summary'!$B21,Output!$B$2:$P$2,0))</f>
        <v>1</v>
      </c>
      <c r="I21" s="24">
        <f>INDEX(Output!$B$3:$P$17,MATCH('Defensive Summary'!I$1,Output!$A$3:$A$17,0),MATCH('Defensive Summary'!$A21,Output!$B$2:$P$2,0))*INDEX(Output!$B$3:$P$17,MATCH('Defensive Summary'!I$1,Output!$A$3:$A$17,0),MATCH('Defensive Summary'!$B21,Output!$B$2:$P$2,0))</f>
        <v>0.5</v>
      </c>
      <c r="J21" s="24">
        <f>INDEX(Output!$B$3:$P$17,MATCH('Defensive Summary'!J$1,Output!$A$3:$A$17,0),MATCH('Defensive Summary'!$A21,Output!$B$2:$P$2,0))*INDEX(Output!$B$3:$P$17,MATCH('Defensive Summary'!J$1,Output!$A$3:$A$17,0),MATCH('Defensive Summary'!$B21,Output!$B$2:$P$2,0))</f>
        <v>1</v>
      </c>
      <c r="K21" s="24">
        <f>INDEX(Output!$B$3:$P$17,MATCH('Defensive Summary'!K$1,Output!$A$3:$A$17,0),MATCH('Defensive Summary'!$A21,Output!$B$2:$P$2,0))*INDEX(Output!$B$3:$P$17,MATCH('Defensive Summary'!K$1,Output!$A$3:$A$17,0),MATCH('Defensive Summary'!$B21,Output!$B$2:$P$2,0))</f>
        <v>2</v>
      </c>
      <c r="L21" s="24">
        <f>INDEX(Output!$B$3:$P$17,MATCH('Defensive Summary'!L$1,Output!$A$3:$A$17,0),MATCH('Defensive Summary'!$A21,Output!$B$2:$P$2,0))*INDEX(Output!$B$3:$P$17,MATCH('Defensive Summary'!L$1,Output!$A$3:$A$17,0),MATCH('Defensive Summary'!$B21,Output!$B$2:$P$2,0))</f>
        <v>0.5</v>
      </c>
      <c r="M21" s="24">
        <f>INDEX(Output!$B$3:$P$17,MATCH('Defensive Summary'!M$1,Output!$A$3:$A$17,0),MATCH('Defensive Summary'!$A21,Output!$B$2:$P$2,0))*INDEX(Output!$B$3:$P$17,MATCH('Defensive Summary'!M$1,Output!$A$3:$A$17,0),MATCH('Defensive Summary'!$B21,Output!$B$2:$P$2,0))</f>
        <v>0</v>
      </c>
      <c r="N21" s="24">
        <f>INDEX(Output!$B$3:$P$17,MATCH('Defensive Summary'!N$1,Output!$A$3:$A$17,0),MATCH('Defensive Summary'!$A21,Output!$B$2:$P$2,0))*INDEX(Output!$B$3:$P$17,MATCH('Defensive Summary'!N$1,Output!$A$3:$A$17,0),MATCH('Defensive Summary'!$B21,Output!$B$2:$P$2,0))</f>
        <v>2</v>
      </c>
      <c r="O21" s="24">
        <f>INDEX(Output!$B$3:$P$17,MATCH('Defensive Summary'!O$1,Output!$A$3:$A$17,0),MATCH('Defensive Summary'!$A21,Output!$B$2:$P$2,0))*INDEX(Output!$B$3:$P$17,MATCH('Defensive Summary'!O$1,Output!$A$3:$A$17,0),MATCH('Defensive Summary'!$B21,Output!$B$2:$P$2,0))</f>
        <v>1</v>
      </c>
      <c r="P21" s="24">
        <f>INDEX(Output!$B$3:$P$17,MATCH('Defensive Summary'!P$1,Output!$A$3:$A$17,0),MATCH('Defensive Summary'!$A21,Output!$B$2:$P$2,0))*INDEX(Output!$B$3:$P$17,MATCH('Defensive Summary'!P$1,Output!$A$3:$A$17,0),MATCH('Defensive Summary'!$B21,Output!$B$2:$P$2,0))</f>
        <v>2</v>
      </c>
      <c r="Q21" s="24">
        <f>INDEX(Output!$B$3:$P$17,MATCH('Defensive Summary'!Q$1,Output!$A$3:$A$17,0),MATCH('Defensive Summary'!$A21,Output!$B$2:$P$2,0))*INDEX(Output!$B$3:$P$17,MATCH('Defensive Summary'!Q$1,Output!$A$3:$A$17,0),MATCH('Defensive Summary'!$B21,Output!$B$2:$P$2,0))</f>
        <v>1</v>
      </c>
      <c r="R21" s="24"/>
      <c r="S21" s="25">
        <f t="shared" si="0"/>
        <v>5</v>
      </c>
      <c r="T21" s="21" t="s">
        <v>1</v>
      </c>
      <c r="U21" s="22" t="s">
        <v>7</v>
      </c>
      <c r="V21" s="24" cm="1">
        <f t="array" ref="V21">_xlfn.IFS(C21=1,0,C21=2,-1,C21=4,-2,C21=0.5,1,C21=0.25,2,C21=0,4)</f>
        <v>1</v>
      </c>
      <c r="W21" s="24" cm="1">
        <f t="array" ref="W21">_xlfn.IFS(D21=1,0,D21=2,-1,D21=4,-2,D21=0.5,1,D21=0.25,2,D21=0,4)</f>
        <v>1</v>
      </c>
      <c r="X21" s="24" cm="1">
        <f t="array" ref="X21">_xlfn.IFS(E21=1,0,E21=2,-1,E21=4,-2,E21=0.5,1,E21=0.25,2,E21=0,4)</f>
        <v>-1</v>
      </c>
      <c r="Y21" s="24" cm="1">
        <f t="array" ref="Y21">_xlfn.IFS(F21=1,0,F21=2,-1,F21=4,-2,F21=0.5,1,F21=0.25,2,F21=0,4)</f>
        <v>1</v>
      </c>
      <c r="Z21" s="24" cm="1">
        <f t="array" ref="Z21">_xlfn.IFS(G21=1,0,G21=2,-1,G21=4,-2,G21=0.5,1,G21=0.25,2,G21=0,4)</f>
        <v>0</v>
      </c>
      <c r="AA21" s="24" cm="1">
        <f t="array" ref="AA21">_xlfn.IFS(H21=1,0,H21=2,-1,H21=4,-2,H21=0.5,1,H21=0.25,2,H21=0,4)</f>
        <v>0</v>
      </c>
      <c r="AB21" s="24" cm="1">
        <f t="array" ref="AB21">_xlfn.IFS(I21=1,0,I21=2,-1,I21=4,-2,I21=0.5,1,I21=0.25,2,I21=0,4)</f>
        <v>1</v>
      </c>
      <c r="AC21" s="24" cm="1">
        <f t="array" ref="AC21">_xlfn.IFS(J21=1,0,J21=2,-1,J21=4,-2,J21=0.5,1,J21=0.25,2,J21=0,4)</f>
        <v>0</v>
      </c>
      <c r="AD21" s="24" cm="1">
        <f t="array" ref="AD21">_xlfn.IFS(K21=1,0,K21=2,-1,K21=4,-2,K21=0.5,1,K21=0.25,2,K21=0,4)</f>
        <v>-1</v>
      </c>
      <c r="AE21" s="24" cm="1">
        <f t="array" ref="AE21">_xlfn.IFS(L21=1,0,L21=2,-1,L21=4,-2,L21=0.5,1,L21=0.25,2,L21=0,4)</f>
        <v>1</v>
      </c>
      <c r="AF21" s="24" cm="1">
        <f t="array" ref="AF21">_xlfn.IFS(M21=1,0,M21=2,-1,M21=4,-2,M21=0.5,1,M21=0.25,2,M21=0,4)</f>
        <v>4</v>
      </c>
      <c r="AG21" s="24" cm="1">
        <f t="array" ref="AG21">_xlfn.IFS(N21=1,0,N21=2,-1,N21=4,-2,N21=0.5,1,N21=0.25,2,N21=0,4)</f>
        <v>-1</v>
      </c>
      <c r="AH21" s="24" cm="1">
        <f t="array" ref="AH21">_xlfn.IFS(O21=1,0,O21=2,-1,O21=4,-2,O21=0.5,1,O21=0.25,2,O21=0,4)</f>
        <v>0</v>
      </c>
      <c r="AI21" s="24" cm="1">
        <f t="array" ref="AI21">_xlfn.IFS(P21=1,0,P21=2,-1,P21=4,-2,P21=0.5,1,P21=0.25,2,P21=0,4)</f>
        <v>-1</v>
      </c>
      <c r="AJ21" s="24" cm="1">
        <f t="array" ref="AJ21">_xlfn.IFS(Q21=1,0,Q21=2,-1,Q21=4,-2,Q21=0.5,1,Q21=0.25,2,Q21=0,4)</f>
        <v>0</v>
      </c>
    </row>
    <row r="22" spans="1:36" x14ac:dyDescent="0.2">
      <c r="A22" s="21" t="s">
        <v>1</v>
      </c>
      <c r="B22" s="22" t="s">
        <v>8</v>
      </c>
      <c r="C22" s="24">
        <f>INDEX(Output!$B$3:$P$17,MATCH('Defensive Summary'!C$1,Output!$A$3:$A$17,0),MATCH('Defensive Summary'!$A22,Output!$B$2:$P$2,0))*INDEX(Output!$B$3:$P$17,MATCH('Defensive Summary'!C$1,Output!$A$3:$A$17,0),MATCH('Defensive Summary'!$B22,Output!$B$2:$P$2,0))</f>
        <v>0.25</v>
      </c>
      <c r="D22" s="24">
        <f>INDEX(Output!$B$3:$P$17,MATCH('Defensive Summary'!D$1,Output!$A$3:$A$17,0),MATCH('Defensive Summary'!$A22,Output!$B$2:$P$2,0))*INDEX(Output!$B$3:$P$17,MATCH('Defensive Summary'!D$1,Output!$A$3:$A$17,0),MATCH('Defensive Summary'!$B22,Output!$B$2:$P$2,0))</f>
        <v>0.25</v>
      </c>
      <c r="E22" s="24">
        <f>INDEX(Output!$B$3:$P$17,MATCH('Defensive Summary'!E$1,Output!$A$3:$A$17,0),MATCH('Defensive Summary'!$A22,Output!$B$2:$P$2,0))*INDEX(Output!$B$3:$P$17,MATCH('Defensive Summary'!E$1,Output!$A$3:$A$17,0),MATCH('Defensive Summary'!$B22,Output!$B$2:$P$2,0))</f>
        <v>2</v>
      </c>
      <c r="F22" s="24">
        <f>INDEX(Output!$B$3:$P$17,MATCH('Defensive Summary'!F$1,Output!$A$3:$A$17,0),MATCH('Defensive Summary'!$A22,Output!$B$2:$P$2,0))*INDEX(Output!$B$3:$P$17,MATCH('Defensive Summary'!F$1,Output!$A$3:$A$17,0),MATCH('Defensive Summary'!$B22,Output!$B$2:$P$2,0))</f>
        <v>0.5</v>
      </c>
      <c r="G22" s="24">
        <f>INDEX(Output!$B$3:$P$17,MATCH('Defensive Summary'!G$1,Output!$A$3:$A$17,0),MATCH('Defensive Summary'!$A22,Output!$B$2:$P$2,0))*INDEX(Output!$B$3:$P$17,MATCH('Defensive Summary'!G$1,Output!$A$3:$A$17,0),MATCH('Defensive Summary'!$B22,Output!$B$2:$P$2,0))</f>
        <v>2</v>
      </c>
      <c r="H22" s="24">
        <f>INDEX(Output!$B$3:$P$17,MATCH('Defensive Summary'!H$1,Output!$A$3:$A$17,0),MATCH('Defensive Summary'!$A22,Output!$B$2:$P$2,0))*INDEX(Output!$B$3:$P$17,MATCH('Defensive Summary'!H$1,Output!$A$3:$A$17,0),MATCH('Defensive Summary'!$B22,Output!$B$2:$P$2,0))</f>
        <v>4</v>
      </c>
      <c r="I22" s="24">
        <f>INDEX(Output!$B$3:$P$17,MATCH('Defensive Summary'!I$1,Output!$A$3:$A$17,0),MATCH('Defensive Summary'!$A22,Output!$B$2:$P$2,0))*INDEX(Output!$B$3:$P$17,MATCH('Defensive Summary'!I$1,Output!$A$3:$A$17,0),MATCH('Defensive Summary'!$B22,Output!$B$2:$P$2,0))</f>
        <v>0.5</v>
      </c>
      <c r="J22" s="24">
        <f>INDEX(Output!$B$3:$P$17,MATCH('Defensive Summary'!J$1,Output!$A$3:$A$17,0),MATCH('Defensive Summary'!$A22,Output!$B$2:$P$2,0))*INDEX(Output!$B$3:$P$17,MATCH('Defensive Summary'!J$1,Output!$A$3:$A$17,0),MATCH('Defensive Summary'!$B22,Output!$B$2:$P$2,0))</f>
        <v>0</v>
      </c>
      <c r="K22" s="24">
        <f>INDEX(Output!$B$3:$P$17,MATCH('Defensive Summary'!K$1,Output!$A$3:$A$17,0),MATCH('Defensive Summary'!$A22,Output!$B$2:$P$2,0))*INDEX(Output!$B$3:$P$17,MATCH('Defensive Summary'!K$1,Output!$A$3:$A$17,0),MATCH('Defensive Summary'!$B22,Output!$B$2:$P$2,0))</f>
        <v>1</v>
      </c>
      <c r="L22" s="24">
        <f>INDEX(Output!$B$3:$P$17,MATCH('Defensive Summary'!L$1,Output!$A$3:$A$17,0),MATCH('Defensive Summary'!$A22,Output!$B$2:$P$2,0))*INDEX(Output!$B$3:$P$17,MATCH('Defensive Summary'!L$1,Output!$A$3:$A$17,0),MATCH('Defensive Summary'!$B22,Output!$B$2:$P$2,0))</f>
        <v>2</v>
      </c>
      <c r="M22" s="24">
        <f>INDEX(Output!$B$3:$P$17,MATCH('Defensive Summary'!M$1,Output!$A$3:$A$17,0),MATCH('Defensive Summary'!$A22,Output!$B$2:$P$2,0))*INDEX(Output!$B$3:$P$17,MATCH('Defensive Summary'!M$1,Output!$A$3:$A$17,0),MATCH('Defensive Summary'!$B22,Output!$B$2:$P$2,0))</f>
        <v>0.5</v>
      </c>
      <c r="N22" s="24">
        <f>INDEX(Output!$B$3:$P$17,MATCH('Defensive Summary'!N$1,Output!$A$3:$A$17,0),MATCH('Defensive Summary'!$A22,Output!$B$2:$P$2,0))*INDEX(Output!$B$3:$P$17,MATCH('Defensive Summary'!N$1,Output!$A$3:$A$17,0),MATCH('Defensive Summary'!$B22,Output!$B$2:$P$2,0))</f>
        <v>1</v>
      </c>
      <c r="O22" s="24">
        <f>INDEX(Output!$B$3:$P$17,MATCH('Defensive Summary'!O$1,Output!$A$3:$A$17,0),MATCH('Defensive Summary'!$A22,Output!$B$2:$P$2,0))*INDEX(Output!$B$3:$P$17,MATCH('Defensive Summary'!O$1,Output!$A$3:$A$17,0),MATCH('Defensive Summary'!$B22,Output!$B$2:$P$2,0))</f>
        <v>0.5</v>
      </c>
      <c r="P22" s="24">
        <f>INDEX(Output!$B$3:$P$17,MATCH('Defensive Summary'!P$1,Output!$A$3:$A$17,0),MATCH('Defensive Summary'!$A22,Output!$B$2:$P$2,0))*INDEX(Output!$B$3:$P$17,MATCH('Defensive Summary'!P$1,Output!$A$3:$A$17,0),MATCH('Defensive Summary'!$B22,Output!$B$2:$P$2,0))</f>
        <v>0.5</v>
      </c>
      <c r="Q22" s="24">
        <f>INDEX(Output!$B$3:$P$17,MATCH('Defensive Summary'!Q$1,Output!$A$3:$A$17,0),MATCH('Defensive Summary'!$A22,Output!$B$2:$P$2,0))*INDEX(Output!$B$3:$P$17,MATCH('Defensive Summary'!Q$1,Output!$A$3:$A$17,0),MATCH('Defensive Summary'!$B22,Output!$B$2:$P$2,0))</f>
        <v>1</v>
      </c>
      <c r="R22" s="24"/>
      <c r="S22" s="25">
        <f t="shared" si="0"/>
        <v>8</v>
      </c>
      <c r="T22" s="21" t="s">
        <v>1</v>
      </c>
      <c r="U22" s="22" t="s">
        <v>8</v>
      </c>
      <c r="V22" s="24" cm="1">
        <f t="array" ref="V22">_xlfn.IFS(C22=1,0,C22=2,-1,C22=4,-2,C22=0.5,1,C22=0.25,2,C22=0,4)</f>
        <v>2</v>
      </c>
      <c r="W22" s="24" cm="1">
        <f t="array" ref="W22">_xlfn.IFS(D22=1,0,D22=2,-1,D22=4,-2,D22=0.5,1,D22=0.25,2,D22=0,4)</f>
        <v>2</v>
      </c>
      <c r="X22" s="24" cm="1">
        <f t="array" ref="X22">_xlfn.IFS(E22=1,0,E22=2,-1,E22=4,-2,E22=0.5,1,E22=0.25,2,E22=0,4)</f>
        <v>-1</v>
      </c>
      <c r="Y22" s="24" cm="1">
        <f t="array" ref="Y22">_xlfn.IFS(F22=1,0,F22=2,-1,F22=4,-2,F22=0.5,1,F22=0.25,2,F22=0,4)</f>
        <v>1</v>
      </c>
      <c r="Z22" s="24" cm="1">
        <f t="array" ref="Z22">_xlfn.IFS(G22=1,0,G22=2,-1,G22=4,-2,G22=0.5,1,G22=0.25,2,G22=0,4)</f>
        <v>-1</v>
      </c>
      <c r="AA22" s="24" cm="1">
        <f t="array" ref="AA22">_xlfn.IFS(H22=1,0,H22=2,-1,H22=4,-2,H22=0.5,1,H22=0.25,2,H22=0,4)</f>
        <v>-2</v>
      </c>
      <c r="AB22" s="24" cm="1">
        <f t="array" ref="AB22">_xlfn.IFS(I22=1,0,I22=2,-1,I22=4,-2,I22=0.5,1,I22=0.25,2,I22=0,4)</f>
        <v>1</v>
      </c>
      <c r="AC22" s="24" cm="1">
        <f t="array" ref="AC22">_xlfn.IFS(J22=1,0,J22=2,-1,J22=4,-2,J22=0.5,1,J22=0.25,2,J22=0,4)</f>
        <v>4</v>
      </c>
      <c r="AD22" s="24" cm="1">
        <f t="array" ref="AD22">_xlfn.IFS(K22=1,0,K22=2,-1,K22=4,-2,K22=0.5,1,K22=0.25,2,K22=0,4)</f>
        <v>0</v>
      </c>
      <c r="AE22" s="24" cm="1">
        <f t="array" ref="AE22">_xlfn.IFS(L22=1,0,L22=2,-1,L22=4,-2,L22=0.5,1,L22=0.25,2,L22=0,4)</f>
        <v>-1</v>
      </c>
      <c r="AF22" s="24" cm="1">
        <f t="array" ref="AF22">_xlfn.IFS(M22=1,0,M22=2,-1,M22=4,-2,M22=0.5,1,M22=0.25,2,M22=0,4)</f>
        <v>1</v>
      </c>
      <c r="AG22" s="24" cm="1">
        <f t="array" ref="AG22">_xlfn.IFS(N22=1,0,N22=2,-1,N22=4,-2,N22=0.5,1,N22=0.25,2,N22=0,4)</f>
        <v>0</v>
      </c>
      <c r="AH22" s="24" cm="1">
        <f t="array" ref="AH22">_xlfn.IFS(O22=1,0,O22=2,-1,O22=4,-2,O22=0.5,1,O22=0.25,2,O22=0,4)</f>
        <v>1</v>
      </c>
      <c r="AI22" s="24" cm="1">
        <f t="array" ref="AI22">_xlfn.IFS(P22=1,0,P22=2,-1,P22=4,-2,P22=0.5,1,P22=0.25,2,P22=0,4)</f>
        <v>1</v>
      </c>
      <c r="AJ22" s="24" cm="1">
        <f t="array" ref="AJ22">_xlfn.IFS(Q22=1,0,Q22=2,-1,Q22=4,-2,Q22=0.5,1,Q22=0.25,2,Q22=0,4)</f>
        <v>0</v>
      </c>
    </row>
    <row r="23" spans="1:36" x14ac:dyDescent="0.2">
      <c r="A23" s="21" t="s">
        <v>1</v>
      </c>
      <c r="B23" s="22" t="s">
        <v>9</v>
      </c>
      <c r="C23" s="24">
        <f>INDEX(Output!$B$3:$P$17,MATCH('Defensive Summary'!C$1,Output!$A$3:$A$17,0),MATCH('Defensive Summary'!$A23,Output!$B$2:$P$2,0))*INDEX(Output!$B$3:$P$17,MATCH('Defensive Summary'!C$1,Output!$A$3:$A$17,0),MATCH('Defensive Summary'!$B23,Output!$B$2:$P$2,0))</f>
        <v>0.5</v>
      </c>
      <c r="D23" s="24">
        <f>INDEX(Output!$B$3:$P$17,MATCH('Defensive Summary'!D$1,Output!$A$3:$A$17,0),MATCH('Defensive Summary'!$A23,Output!$B$2:$P$2,0))*INDEX(Output!$B$3:$P$17,MATCH('Defensive Summary'!D$1,Output!$A$3:$A$17,0),MATCH('Defensive Summary'!$B23,Output!$B$2:$P$2,0))</f>
        <v>0.5</v>
      </c>
      <c r="E23" s="24">
        <f>INDEX(Output!$B$3:$P$17,MATCH('Defensive Summary'!E$1,Output!$A$3:$A$17,0),MATCH('Defensive Summary'!$A23,Output!$B$2:$P$2,0))*INDEX(Output!$B$3:$P$17,MATCH('Defensive Summary'!E$1,Output!$A$3:$A$17,0),MATCH('Defensive Summary'!$B23,Output!$B$2:$P$2,0))</f>
        <v>2</v>
      </c>
      <c r="F23" s="24">
        <f>INDEX(Output!$B$3:$P$17,MATCH('Defensive Summary'!F$1,Output!$A$3:$A$17,0),MATCH('Defensive Summary'!$A23,Output!$B$2:$P$2,0))*INDEX(Output!$B$3:$P$17,MATCH('Defensive Summary'!F$1,Output!$A$3:$A$17,0),MATCH('Defensive Summary'!$B23,Output!$B$2:$P$2,0))</f>
        <v>1</v>
      </c>
      <c r="G23" s="24">
        <f>INDEX(Output!$B$3:$P$17,MATCH('Defensive Summary'!G$1,Output!$A$3:$A$17,0),MATCH('Defensive Summary'!$A23,Output!$B$2:$P$2,0))*INDEX(Output!$B$3:$P$17,MATCH('Defensive Summary'!G$1,Output!$A$3:$A$17,0),MATCH('Defensive Summary'!$B23,Output!$B$2:$P$2,0))</f>
        <v>1</v>
      </c>
      <c r="H23" s="24">
        <f>INDEX(Output!$B$3:$P$17,MATCH('Defensive Summary'!H$1,Output!$A$3:$A$17,0),MATCH('Defensive Summary'!$A23,Output!$B$2:$P$2,0))*INDEX(Output!$B$3:$P$17,MATCH('Defensive Summary'!H$1,Output!$A$3:$A$17,0),MATCH('Defensive Summary'!$B23,Output!$B$2:$P$2,0))</f>
        <v>2</v>
      </c>
      <c r="I23" s="24">
        <f>INDEX(Output!$B$3:$P$17,MATCH('Defensive Summary'!I$1,Output!$A$3:$A$17,0),MATCH('Defensive Summary'!$A23,Output!$B$2:$P$2,0))*INDEX(Output!$B$3:$P$17,MATCH('Defensive Summary'!I$1,Output!$A$3:$A$17,0),MATCH('Defensive Summary'!$B23,Output!$B$2:$P$2,0))</f>
        <v>0.5</v>
      </c>
      <c r="J23" s="24">
        <f>INDEX(Output!$B$3:$P$17,MATCH('Defensive Summary'!J$1,Output!$A$3:$A$17,0),MATCH('Defensive Summary'!$A23,Output!$B$2:$P$2,0))*INDEX(Output!$B$3:$P$17,MATCH('Defensive Summary'!J$1,Output!$A$3:$A$17,0),MATCH('Defensive Summary'!$B23,Output!$B$2:$P$2,0))</f>
        <v>0.5</v>
      </c>
      <c r="K23" s="24">
        <f>INDEX(Output!$B$3:$P$17,MATCH('Defensive Summary'!K$1,Output!$A$3:$A$17,0),MATCH('Defensive Summary'!$A23,Output!$B$2:$P$2,0))*INDEX(Output!$B$3:$P$17,MATCH('Defensive Summary'!K$1,Output!$A$3:$A$17,0),MATCH('Defensive Summary'!$B23,Output!$B$2:$P$2,0))</f>
        <v>0</v>
      </c>
      <c r="L23" s="24">
        <f>INDEX(Output!$B$3:$P$17,MATCH('Defensive Summary'!L$1,Output!$A$3:$A$17,0),MATCH('Defensive Summary'!$A23,Output!$B$2:$P$2,0))*INDEX(Output!$B$3:$P$17,MATCH('Defensive Summary'!L$1,Output!$A$3:$A$17,0),MATCH('Defensive Summary'!$B23,Output!$B$2:$P$2,0))</f>
        <v>1</v>
      </c>
      <c r="M23" s="24">
        <f>INDEX(Output!$B$3:$P$17,MATCH('Defensive Summary'!M$1,Output!$A$3:$A$17,0),MATCH('Defensive Summary'!$A23,Output!$B$2:$P$2,0))*INDEX(Output!$B$3:$P$17,MATCH('Defensive Summary'!M$1,Output!$A$3:$A$17,0),MATCH('Defensive Summary'!$B23,Output!$B$2:$P$2,0))</f>
        <v>2</v>
      </c>
      <c r="N23" s="24">
        <f>INDEX(Output!$B$3:$P$17,MATCH('Defensive Summary'!N$1,Output!$A$3:$A$17,0),MATCH('Defensive Summary'!$A23,Output!$B$2:$P$2,0))*INDEX(Output!$B$3:$P$17,MATCH('Defensive Summary'!N$1,Output!$A$3:$A$17,0),MATCH('Defensive Summary'!$B23,Output!$B$2:$P$2,0))</f>
        <v>1</v>
      </c>
      <c r="O23" s="24">
        <f>INDEX(Output!$B$3:$P$17,MATCH('Defensive Summary'!O$1,Output!$A$3:$A$17,0),MATCH('Defensive Summary'!$A23,Output!$B$2:$P$2,0))*INDEX(Output!$B$3:$P$17,MATCH('Defensive Summary'!O$1,Output!$A$3:$A$17,0),MATCH('Defensive Summary'!$B23,Output!$B$2:$P$2,0))</f>
        <v>0.25</v>
      </c>
      <c r="P23" s="24">
        <f>INDEX(Output!$B$3:$P$17,MATCH('Defensive Summary'!P$1,Output!$A$3:$A$17,0),MATCH('Defensive Summary'!$A23,Output!$B$2:$P$2,0))*INDEX(Output!$B$3:$P$17,MATCH('Defensive Summary'!P$1,Output!$A$3:$A$17,0),MATCH('Defensive Summary'!$B23,Output!$B$2:$P$2,0))</f>
        <v>2</v>
      </c>
      <c r="Q23" s="24">
        <f>INDEX(Output!$B$3:$P$17,MATCH('Defensive Summary'!Q$1,Output!$A$3:$A$17,0),MATCH('Defensive Summary'!$A23,Output!$B$2:$P$2,0))*INDEX(Output!$B$3:$P$17,MATCH('Defensive Summary'!Q$1,Output!$A$3:$A$17,0),MATCH('Defensive Summary'!$B23,Output!$B$2:$P$2,0))</f>
        <v>1</v>
      </c>
      <c r="R23" s="24"/>
      <c r="S23" s="25">
        <f t="shared" si="0"/>
        <v>6</v>
      </c>
      <c r="T23" s="21" t="s">
        <v>1</v>
      </c>
      <c r="U23" s="22" t="s">
        <v>9</v>
      </c>
      <c r="V23" s="24" cm="1">
        <f t="array" ref="V23">_xlfn.IFS(C23=1,0,C23=2,-1,C23=4,-2,C23=0.5,1,C23=0.25,2,C23=0,4)</f>
        <v>1</v>
      </c>
      <c r="W23" s="24" cm="1">
        <f t="array" ref="W23">_xlfn.IFS(D23=1,0,D23=2,-1,D23=4,-2,D23=0.5,1,D23=0.25,2,D23=0,4)</f>
        <v>1</v>
      </c>
      <c r="X23" s="24" cm="1">
        <f t="array" ref="X23">_xlfn.IFS(E23=1,0,E23=2,-1,E23=4,-2,E23=0.5,1,E23=0.25,2,E23=0,4)</f>
        <v>-1</v>
      </c>
      <c r="Y23" s="24" cm="1">
        <f t="array" ref="Y23">_xlfn.IFS(F23=1,0,F23=2,-1,F23=4,-2,F23=0.5,1,F23=0.25,2,F23=0,4)</f>
        <v>0</v>
      </c>
      <c r="Z23" s="24" cm="1">
        <f t="array" ref="Z23">_xlfn.IFS(G23=1,0,G23=2,-1,G23=4,-2,G23=0.5,1,G23=0.25,2,G23=0,4)</f>
        <v>0</v>
      </c>
      <c r="AA23" s="24" cm="1">
        <f t="array" ref="AA23">_xlfn.IFS(H23=1,0,H23=2,-1,H23=4,-2,H23=0.5,1,H23=0.25,2,H23=0,4)</f>
        <v>-1</v>
      </c>
      <c r="AB23" s="24" cm="1">
        <f t="array" ref="AB23">_xlfn.IFS(I23=1,0,I23=2,-1,I23=4,-2,I23=0.5,1,I23=0.25,2,I23=0,4)</f>
        <v>1</v>
      </c>
      <c r="AC23" s="24" cm="1">
        <f t="array" ref="AC23">_xlfn.IFS(J23=1,0,J23=2,-1,J23=4,-2,J23=0.5,1,J23=0.25,2,J23=0,4)</f>
        <v>1</v>
      </c>
      <c r="AD23" s="24" cm="1">
        <f t="array" ref="AD23">_xlfn.IFS(K23=1,0,K23=2,-1,K23=4,-2,K23=0.5,1,K23=0.25,2,K23=0,4)</f>
        <v>4</v>
      </c>
      <c r="AE23" s="24" cm="1">
        <f t="array" ref="AE23">_xlfn.IFS(L23=1,0,L23=2,-1,L23=4,-2,L23=0.5,1,L23=0.25,2,L23=0,4)</f>
        <v>0</v>
      </c>
      <c r="AF23" s="24" cm="1">
        <f t="array" ref="AF23">_xlfn.IFS(M23=1,0,M23=2,-1,M23=4,-2,M23=0.5,1,M23=0.25,2,M23=0,4)</f>
        <v>-1</v>
      </c>
      <c r="AG23" s="24" cm="1">
        <f t="array" ref="AG23">_xlfn.IFS(N23=1,0,N23=2,-1,N23=4,-2,N23=0.5,1,N23=0.25,2,N23=0,4)</f>
        <v>0</v>
      </c>
      <c r="AH23" s="24" cm="1">
        <f t="array" ref="AH23">_xlfn.IFS(O23=1,0,O23=2,-1,O23=4,-2,O23=0.5,1,O23=0.25,2,O23=0,4)</f>
        <v>2</v>
      </c>
      <c r="AI23" s="24" cm="1">
        <f t="array" ref="AI23">_xlfn.IFS(P23=1,0,P23=2,-1,P23=4,-2,P23=0.5,1,P23=0.25,2,P23=0,4)</f>
        <v>-1</v>
      </c>
      <c r="AJ23" s="24" cm="1">
        <f t="array" ref="AJ23">_xlfn.IFS(Q23=1,0,Q23=2,-1,Q23=4,-2,Q23=0.5,1,Q23=0.25,2,Q23=0,4)</f>
        <v>0</v>
      </c>
    </row>
    <row r="24" spans="1:36" x14ac:dyDescent="0.2">
      <c r="A24" s="21" t="s">
        <v>1</v>
      </c>
      <c r="B24" s="22" t="s">
        <v>10</v>
      </c>
      <c r="C24" s="24">
        <f>INDEX(Output!$B$3:$P$17,MATCH('Defensive Summary'!C$1,Output!$A$3:$A$17,0),MATCH('Defensive Summary'!$A24,Output!$B$2:$P$2,0))*INDEX(Output!$B$3:$P$17,MATCH('Defensive Summary'!C$1,Output!$A$3:$A$17,0),MATCH('Defensive Summary'!$B24,Output!$B$2:$P$2,0))</f>
        <v>1</v>
      </c>
      <c r="D24" s="24">
        <f>INDEX(Output!$B$3:$P$17,MATCH('Defensive Summary'!D$1,Output!$A$3:$A$17,0),MATCH('Defensive Summary'!$A24,Output!$B$2:$P$2,0))*INDEX(Output!$B$3:$P$17,MATCH('Defensive Summary'!D$1,Output!$A$3:$A$17,0),MATCH('Defensive Summary'!$B24,Output!$B$2:$P$2,0))</f>
        <v>0.5</v>
      </c>
      <c r="E24" s="24">
        <f>INDEX(Output!$B$3:$P$17,MATCH('Defensive Summary'!E$1,Output!$A$3:$A$17,0),MATCH('Defensive Summary'!$A24,Output!$B$2:$P$2,0))*INDEX(Output!$B$3:$P$17,MATCH('Defensive Summary'!E$1,Output!$A$3:$A$17,0),MATCH('Defensive Summary'!$B24,Output!$B$2:$P$2,0))</f>
        <v>1</v>
      </c>
      <c r="F24" s="24">
        <f>INDEX(Output!$B$3:$P$17,MATCH('Defensive Summary'!F$1,Output!$A$3:$A$17,0),MATCH('Defensive Summary'!$A24,Output!$B$2:$P$2,0))*INDEX(Output!$B$3:$P$17,MATCH('Defensive Summary'!F$1,Output!$A$3:$A$17,0),MATCH('Defensive Summary'!$B24,Output!$B$2:$P$2,0))</f>
        <v>1</v>
      </c>
      <c r="G24" s="24">
        <f>INDEX(Output!$B$3:$P$17,MATCH('Defensive Summary'!G$1,Output!$A$3:$A$17,0),MATCH('Defensive Summary'!$A24,Output!$B$2:$P$2,0))*INDEX(Output!$B$3:$P$17,MATCH('Defensive Summary'!G$1,Output!$A$3:$A$17,0),MATCH('Defensive Summary'!$B24,Output!$B$2:$P$2,0))</f>
        <v>2</v>
      </c>
      <c r="H24" s="24">
        <f>INDEX(Output!$B$3:$P$17,MATCH('Defensive Summary'!H$1,Output!$A$3:$A$17,0),MATCH('Defensive Summary'!$A24,Output!$B$2:$P$2,0))*INDEX(Output!$B$3:$P$17,MATCH('Defensive Summary'!H$1,Output!$A$3:$A$17,0),MATCH('Defensive Summary'!$B24,Output!$B$2:$P$2,0))</f>
        <v>4</v>
      </c>
      <c r="I24" s="24">
        <f>INDEX(Output!$B$3:$P$17,MATCH('Defensive Summary'!I$1,Output!$A$3:$A$17,0),MATCH('Defensive Summary'!$A24,Output!$B$2:$P$2,0))*INDEX(Output!$B$3:$P$17,MATCH('Defensive Summary'!I$1,Output!$A$3:$A$17,0),MATCH('Defensive Summary'!$B24,Output!$B$2:$P$2,0))</f>
        <v>0.25</v>
      </c>
      <c r="J24" s="24">
        <f>INDEX(Output!$B$3:$P$17,MATCH('Defensive Summary'!J$1,Output!$A$3:$A$17,0),MATCH('Defensive Summary'!$A24,Output!$B$2:$P$2,0))*INDEX(Output!$B$3:$P$17,MATCH('Defensive Summary'!J$1,Output!$A$3:$A$17,0),MATCH('Defensive Summary'!$B24,Output!$B$2:$P$2,0))</f>
        <v>2</v>
      </c>
      <c r="K24" s="24">
        <f>INDEX(Output!$B$3:$P$17,MATCH('Defensive Summary'!K$1,Output!$A$3:$A$17,0),MATCH('Defensive Summary'!$A24,Output!$B$2:$P$2,0))*INDEX(Output!$B$3:$P$17,MATCH('Defensive Summary'!K$1,Output!$A$3:$A$17,0),MATCH('Defensive Summary'!$B24,Output!$B$2:$P$2,0))</f>
        <v>0.5</v>
      </c>
      <c r="L24" s="24">
        <f>INDEX(Output!$B$3:$P$17,MATCH('Defensive Summary'!L$1,Output!$A$3:$A$17,0),MATCH('Defensive Summary'!$A24,Output!$B$2:$P$2,0))*INDEX(Output!$B$3:$P$17,MATCH('Defensive Summary'!L$1,Output!$A$3:$A$17,0),MATCH('Defensive Summary'!$B24,Output!$B$2:$P$2,0))</f>
        <v>0</v>
      </c>
      <c r="M24" s="24">
        <f>INDEX(Output!$B$3:$P$17,MATCH('Defensive Summary'!M$1,Output!$A$3:$A$17,0),MATCH('Defensive Summary'!$A24,Output!$B$2:$P$2,0))*INDEX(Output!$B$3:$P$17,MATCH('Defensive Summary'!M$1,Output!$A$3:$A$17,0),MATCH('Defensive Summary'!$B24,Output!$B$2:$P$2,0))</f>
        <v>1</v>
      </c>
      <c r="N24" s="24">
        <f>INDEX(Output!$B$3:$P$17,MATCH('Defensive Summary'!N$1,Output!$A$3:$A$17,0),MATCH('Defensive Summary'!$A24,Output!$B$2:$P$2,0))*INDEX(Output!$B$3:$P$17,MATCH('Defensive Summary'!N$1,Output!$A$3:$A$17,0),MATCH('Defensive Summary'!$B24,Output!$B$2:$P$2,0))</f>
        <v>0.5</v>
      </c>
      <c r="O24" s="24">
        <f>INDEX(Output!$B$3:$P$17,MATCH('Defensive Summary'!O$1,Output!$A$3:$A$17,0),MATCH('Defensive Summary'!$A24,Output!$B$2:$P$2,0))*INDEX(Output!$B$3:$P$17,MATCH('Defensive Summary'!O$1,Output!$A$3:$A$17,0),MATCH('Defensive Summary'!$B24,Output!$B$2:$P$2,0))</f>
        <v>0.25</v>
      </c>
      <c r="P24" s="24">
        <f>INDEX(Output!$B$3:$P$17,MATCH('Defensive Summary'!P$1,Output!$A$3:$A$17,0),MATCH('Defensive Summary'!$A24,Output!$B$2:$P$2,0))*INDEX(Output!$B$3:$P$17,MATCH('Defensive Summary'!P$1,Output!$A$3:$A$17,0),MATCH('Defensive Summary'!$B24,Output!$B$2:$P$2,0))</f>
        <v>1</v>
      </c>
      <c r="Q24" s="24">
        <f>INDEX(Output!$B$3:$P$17,MATCH('Defensive Summary'!Q$1,Output!$A$3:$A$17,0),MATCH('Defensive Summary'!$A24,Output!$B$2:$P$2,0))*INDEX(Output!$B$3:$P$17,MATCH('Defensive Summary'!Q$1,Output!$A$3:$A$17,0),MATCH('Defensive Summary'!$B24,Output!$B$2:$P$2,0))</f>
        <v>1</v>
      </c>
      <c r="R24" s="24"/>
      <c r="S24" s="25">
        <f t="shared" si="0"/>
        <v>7</v>
      </c>
      <c r="T24" s="21" t="s">
        <v>1</v>
      </c>
      <c r="U24" s="22" t="s">
        <v>10</v>
      </c>
      <c r="V24" s="24" cm="1">
        <f t="array" ref="V24">_xlfn.IFS(C24=1,0,C24=2,-1,C24=4,-2,C24=0.5,1,C24=0.25,2,C24=0,4)</f>
        <v>0</v>
      </c>
      <c r="W24" s="24" cm="1">
        <f t="array" ref="W24">_xlfn.IFS(D24=1,0,D24=2,-1,D24=4,-2,D24=0.5,1,D24=0.25,2,D24=0,4)</f>
        <v>1</v>
      </c>
      <c r="X24" s="24" cm="1">
        <f t="array" ref="X24">_xlfn.IFS(E24=1,0,E24=2,-1,E24=4,-2,E24=0.5,1,E24=0.25,2,E24=0,4)</f>
        <v>0</v>
      </c>
      <c r="Y24" s="24" cm="1">
        <f t="array" ref="Y24">_xlfn.IFS(F24=1,0,F24=2,-1,F24=4,-2,F24=0.5,1,F24=0.25,2,F24=0,4)</f>
        <v>0</v>
      </c>
      <c r="Z24" s="24" cm="1">
        <f t="array" ref="Z24">_xlfn.IFS(G24=1,0,G24=2,-1,G24=4,-2,G24=0.5,1,G24=0.25,2,G24=0,4)</f>
        <v>-1</v>
      </c>
      <c r="AA24" s="24" cm="1">
        <f t="array" ref="AA24">_xlfn.IFS(H24=1,0,H24=2,-1,H24=4,-2,H24=0.5,1,H24=0.25,2,H24=0,4)</f>
        <v>-2</v>
      </c>
      <c r="AB24" s="24" cm="1">
        <f t="array" ref="AB24">_xlfn.IFS(I24=1,0,I24=2,-1,I24=4,-2,I24=0.5,1,I24=0.25,2,I24=0,4)</f>
        <v>2</v>
      </c>
      <c r="AC24" s="24" cm="1">
        <f t="array" ref="AC24">_xlfn.IFS(J24=1,0,J24=2,-1,J24=4,-2,J24=0.5,1,J24=0.25,2,J24=0,4)</f>
        <v>-1</v>
      </c>
      <c r="AD24" s="24" cm="1">
        <f t="array" ref="AD24">_xlfn.IFS(K24=1,0,K24=2,-1,K24=4,-2,K24=0.5,1,K24=0.25,2,K24=0,4)</f>
        <v>1</v>
      </c>
      <c r="AE24" s="24" cm="1">
        <f t="array" ref="AE24">_xlfn.IFS(L24=1,0,L24=2,-1,L24=4,-2,L24=0.5,1,L24=0.25,2,L24=0,4)</f>
        <v>4</v>
      </c>
      <c r="AF24" s="24" cm="1">
        <f t="array" ref="AF24">_xlfn.IFS(M24=1,0,M24=2,-1,M24=4,-2,M24=0.5,1,M24=0.25,2,M24=0,4)</f>
        <v>0</v>
      </c>
      <c r="AG24" s="24" cm="1">
        <f t="array" ref="AG24">_xlfn.IFS(N24=1,0,N24=2,-1,N24=4,-2,N24=0.5,1,N24=0.25,2,N24=0,4)</f>
        <v>1</v>
      </c>
      <c r="AH24" s="24" cm="1">
        <f t="array" ref="AH24">_xlfn.IFS(O24=1,0,O24=2,-1,O24=4,-2,O24=0.5,1,O24=0.25,2,O24=0,4)</f>
        <v>2</v>
      </c>
      <c r="AI24" s="24" cm="1">
        <f t="array" ref="AI24">_xlfn.IFS(P24=1,0,P24=2,-1,P24=4,-2,P24=0.5,1,P24=0.25,2,P24=0,4)</f>
        <v>0</v>
      </c>
      <c r="AJ24" s="24" cm="1">
        <f t="array" ref="AJ24">_xlfn.IFS(Q24=1,0,Q24=2,-1,Q24=4,-2,Q24=0.5,1,Q24=0.25,2,Q24=0,4)</f>
        <v>0</v>
      </c>
    </row>
    <row r="25" spans="1:36" x14ac:dyDescent="0.2">
      <c r="A25" s="21" t="s">
        <v>1</v>
      </c>
      <c r="B25" s="22" t="s">
        <v>11</v>
      </c>
      <c r="C25" s="24">
        <f>INDEX(Output!$B$3:$P$17,MATCH('Defensive Summary'!C$1,Output!$A$3:$A$17,0),MATCH('Defensive Summary'!$A25,Output!$B$2:$P$2,0))*INDEX(Output!$B$3:$P$17,MATCH('Defensive Summary'!C$1,Output!$A$3:$A$17,0),MATCH('Defensive Summary'!$B25,Output!$B$2:$P$2,0))</f>
        <v>0.5</v>
      </c>
      <c r="D25" s="24">
        <f>INDEX(Output!$B$3:$P$17,MATCH('Defensive Summary'!D$1,Output!$A$3:$A$17,0),MATCH('Defensive Summary'!$A25,Output!$B$2:$P$2,0))*INDEX(Output!$B$3:$P$17,MATCH('Defensive Summary'!D$1,Output!$A$3:$A$17,0),MATCH('Defensive Summary'!$B25,Output!$B$2:$P$2,0))</f>
        <v>0.5</v>
      </c>
      <c r="E25" s="24">
        <f>INDEX(Output!$B$3:$P$17,MATCH('Defensive Summary'!E$1,Output!$A$3:$A$17,0),MATCH('Defensive Summary'!$A25,Output!$B$2:$P$2,0))*INDEX(Output!$B$3:$P$17,MATCH('Defensive Summary'!E$1,Output!$A$3:$A$17,0),MATCH('Defensive Summary'!$B25,Output!$B$2:$P$2,0))</f>
        <v>2</v>
      </c>
      <c r="F25" s="24">
        <f>INDEX(Output!$B$3:$P$17,MATCH('Defensive Summary'!F$1,Output!$A$3:$A$17,0),MATCH('Defensive Summary'!$A25,Output!$B$2:$P$2,0))*INDEX(Output!$B$3:$P$17,MATCH('Defensive Summary'!F$1,Output!$A$3:$A$17,0),MATCH('Defensive Summary'!$B25,Output!$B$2:$P$2,0))</f>
        <v>1</v>
      </c>
      <c r="G25" s="24">
        <f>INDEX(Output!$B$3:$P$17,MATCH('Defensive Summary'!G$1,Output!$A$3:$A$17,0),MATCH('Defensive Summary'!$A25,Output!$B$2:$P$2,0))*INDEX(Output!$B$3:$P$17,MATCH('Defensive Summary'!G$1,Output!$A$3:$A$17,0),MATCH('Defensive Summary'!$B25,Output!$B$2:$P$2,0))</f>
        <v>1</v>
      </c>
      <c r="H25" s="24">
        <f>INDEX(Output!$B$3:$P$17,MATCH('Defensive Summary'!H$1,Output!$A$3:$A$17,0),MATCH('Defensive Summary'!$A25,Output!$B$2:$P$2,0))*INDEX(Output!$B$3:$P$17,MATCH('Defensive Summary'!H$1,Output!$A$3:$A$17,0),MATCH('Defensive Summary'!$B25,Output!$B$2:$P$2,0))</f>
        <v>2</v>
      </c>
      <c r="I25" s="24">
        <f>INDEX(Output!$B$3:$P$17,MATCH('Defensive Summary'!I$1,Output!$A$3:$A$17,0),MATCH('Defensive Summary'!$A25,Output!$B$2:$P$2,0))*INDEX(Output!$B$3:$P$17,MATCH('Defensive Summary'!I$1,Output!$A$3:$A$17,0),MATCH('Defensive Summary'!$B25,Output!$B$2:$P$2,0))</f>
        <v>0.25</v>
      </c>
      <c r="J25" s="24">
        <f>INDEX(Output!$B$3:$P$17,MATCH('Defensive Summary'!J$1,Output!$A$3:$A$17,0),MATCH('Defensive Summary'!$A25,Output!$B$2:$P$2,0))*INDEX(Output!$B$3:$P$17,MATCH('Defensive Summary'!J$1,Output!$A$3:$A$17,0),MATCH('Defensive Summary'!$B25,Output!$B$2:$P$2,0))</f>
        <v>1</v>
      </c>
      <c r="K25" s="24">
        <f>INDEX(Output!$B$3:$P$17,MATCH('Defensive Summary'!K$1,Output!$A$3:$A$17,0),MATCH('Defensive Summary'!$A25,Output!$B$2:$P$2,0))*INDEX(Output!$B$3:$P$17,MATCH('Defensive Summary'!K$1,Output!$A$3:$A$17,0),MATCH('Defensive Summary'!$B25,Output!$B$2:$P$2,0))</f>
        <v>1</v>
      </c>
      <c r="L25" s="24">
        <f>INDEX(Output!$B$3:$P$17,MATCH('Defensive Summary'!L$1,Output!$A$3:$A$17,0),MATCH('Defensive Summary'!$A25,Output!$B$2:$P$2,0))*INDEX(Output!$B$3:$P$17,MATCH('Defensive Summary'!L$1,Output!$A$3:$A$17,0),MATCH('Defensive Summary'!$B25,Output!$B$2:$P$2,0))</f>
        <v>1</v>
      </c>
      <c r="M25" s="24">
        <f>INDEX(Output!$B$3:$P$17,MATCH('Defensive Summary'!M$1,Output!$A$3:$A$17,0),MATCH('Defensive Summary'!$A25,Output!$B$2:$P$2,0))*INDEX(Output!$B$3:$P$17,MATCH('Defensive Summary'!M$1,Output!$A$3:$A$17,0),MATCH('Defensive Summary'!$B25,Output!$B$2:$P$2,0))</f>
        <v>1</v>
      </c>
      <c r="N25" s="24">
        <f>INDEX(Output!$B$3:$P$17,MATCH('Defensive Summary'!N$1,Output!$A$3:$A$17,0),MATCH('Defensive Summary'!$A25,Output!$B$2:$P$2,0))*INDEX(Output!$B$3:$P$17,MATCH('Defensive Summary'!N$1,Output!$A$3:$A$17,0),MATCH('Defensive Summary'!$B25,Output!$B$2:$P$2,0))</f>
        <v>0.5</v>
      </c>
      <c r="O25" s="24">
        <f>INDEX(Output!$B$3:$P$17,MATCH('Defensive Summary'!O$1,Output!$A$3:$A$17,0),MATCH('Defensive Summary'!$A25,Output!$B$2:$P$2,0))*INDEX(Output!$B$3:$P$17,MATCH('Defensive Summary'!O$1,Output!$A$3:$A$17,0),MATCH('Defensive Summary'!$B25,Output!$B$2:$P$2,0))</f>
        <v>1</v>
      </c>
      <c r="P25" s="24">
        <f>INDEX(Output!$B$3:$P$17,MATCH('Defensive Summary'!P$1,Output!$A$3:$A$17,0),MATCH('Defensive Summary'!$A25,Output!$B$2:$P$2,0))*INDEX(Output!$B$3:$P$17,MATCH('Defensive Summary'!P$1,Output!$A$3:$A$17,0),MATCH('Defensive Summary'!$B25,Output!$B$2:$P$2,0))</f>
        <v>0.5</v>
      </c>
      <c r="Q25" s="24">
        <f>INDEX(Output!$B$3:$P$17,MATCH('Defensive Summary'!Q$1,Output!$A$3:$A$17,0),MATCH('Defensive Summary'!$A25,Output!$B$2:$P$2,0))*INDEX(Output!$B$3:$P$17,MATCH('Defensive Summary'!Q$1,Output!$A$3:$A$17,0),MATCH('Defensive Summary'!$B25,Output!$B$2:$P$2,0))</f>
        <v>1</v>
      </c>
      <c r="R25" s="24"/>
      <c r="S25" s="25">
        <f t="shared" si="0"/>
        <v>4</v>
      </c>
      <c r="T25" s="21" t="s">
        <v>1</v>
      </c>
      <c r="U25" s="22" t="s">
        <v>11</v>
      </c>
      <c r="V25" s="24" cm="1">
        <f t="array" ref="V25">_xlfn.IFS(C25=1,0,C25=2,-1,C25=4,-2,C25=0.5,1,C25=0.25,2,C25=0,4)</f>
        <v>1</v>
      </c>
      <c r="W25" s="24" cm="1">
        <f t="array" ref="W25">_xlfn.IFS(D25=1,0,D25=2,-1,D25=4,-2,D25=0.5,1,D25=0.25,2,D25=0,4)</f>
        <v>1</v>
      </c>
      <c r="X25" s="24" cm="1">
        <f t="array" ref="X25">_xlfn.IFS(E25=1,0,E25=2,-1,E25=4,-2,E25=0.5,1,E25=0.25,2,E25=0,4)</f>
        <v>-1</v>
      </c>
      <c r="Y25" s="24" cm="1">
        <f t="array" ref="Y25">_xlfn.IFS(F25=1,0,F25=2,-1,F25=4,-2,F25=0.5,1,F25=0.25,2,F25=0,4)</f>
        <v>0</v>
      </c>
      <c r="Z25" s="24" cm="1">
        <f t="array" ref="Z25">_xlfn.IFS(G25=1,0,G25=2,-1,G25=4,-2,G25=0.5,1,G25=0.25,2,G25=0,4)</f>
        <v>0</v>
      </c>
      <c r="AA25" s="24" cm="1">
        <f t="array" ref="AA25">_xlfn.IFS(H25=1,0,H25=2,-1,H25=4,-2,H25=0.5,1,H25=0.25,2,H25=0,4)</f>
        <v>-1</v>
      </c>
      <c r="AB25" s="24" cm="1">
        <f t="array" ref="AB25">_xlfn.IFS(I25=1,0,I25=2,-1,I25=4,-2,I25=0.5,1,I25=0.25,2,I25=0,4)</f>
        <v>2</v>
      </c>
      <c r="AC25" s="24" cm="1">
        <f t="array" ref="AC25">_xlfn.IFS(J25=1,0,J25=2,-1,J25=4,-2,J25=0.5,1,J25=0.25,2,J25=0,4)</f>
        <v>0</v>
      </c>
      <c r="AD25" s="24" cm="1">
        <f t="array" ref="AD25">_xlfn.IFS(K25=1,0,K25=2,-1,K25=4,-2,K25=0.5,1,K25=0.25,2,K25=0,4)</f>
        <v>0</v>
      </c>
      <c r="AE25" s="24" cm="1">
        <f t="array" ref="AE25">_xlfn.IFS(L25=1,0,L25=2,-1,L25=4,-2,L25=0.5,1,L25=0.25,2,L25=0,4)</f>
        <v>0</v>
      </c>
      <c r="AF25" s="24" cm="1">
        <f t="array" ref="AF25">_xlfn.IFS(M25=1,0,M25=2,-1,M25=4,-2,M25=0.5,1,M25=0.25,2,M25=0,4)</f>
        <v>0</v>
      </c>
      <c r="AG25" s="24" cm="1">
        <f t="array" ref="AG25">_xlfn.IFS(N25=1,0,N25=2,-1,N25=4,-2,N25=0.5,1,N25=0.25,2,N25=0,4)</f>
        <v>1</v>
      </c>
      <c r="AH25" s="24" cm="1">
        <f t="array" ref="AH25">_xlfn.IFS(O25=1,0,O25=2,-1,O25=4,-2,O25=0.5,1,O25=0.25,2,O25=0,4)</f>
        <v>0</v>
      </c>
      <c r="AI25" s="24" cm="1">
        <f t="array" ref="AI25">_xlfn.IFS(P25=1,0,P25=2,-1,P25=4,-2,P25=0.5,1,P25=0.25,2,P25=0,4)</f>
        <v>1</v>
      </c>
      <c r="AJ25" s="24" cm="1">
        <f t="array" ref="AJ25">_xlfn.IFS(Q25=1,0,Q25=2,-1,Q25=4,-2,Q25=0.5,1,Q25=0.25,2,Q25=0,4)</f>
        <v>0</v>
      </c>
    </row>
    <row r="26" spans="1:36" x14ac:dyDescent="0.2">
      <c r="A26" s="21" t="s">
        <v>1</v>
      </c>
      <c r="B26" s="22" t="s">
        <v>12</v>
      </c>
      <c r="C26" s="24">
        <f>INDEX(Output!$B$3:$P$17,MATCH('Defensive Summary'!C$1,Output!$A$3:$A$17,0),MATCH('Defensive Summary'!$A26,Output!$B$2:$P$2,0))*INDEX(Output!$B$3:$P$17,MATCH('Defensive Summary'!C$1,Output!$A$3:$A$17,0),MATCH('Defensive Summary'!$B26,Output!$B$2:$P$2,0))</f>
        <v>1</v>
      </c>
      <c r="D26" s="24">
        <f>INDEX(Output!$B$3:$P$17,MATCH('Defensive Summary'!D$1,Output!$A$3:$A$17,0),MATCH('Defensive Summary'!$A26,Output!$B$2:$P$2,0))*INDEX(Output!$B$3:$P$17,MATCH('Defensive Summary'!D$1,Output!$A$3:$A$17,0),MATCH('Defensive Summary'!$B26,Output!$B$2:$P$2,0))</f>
        <v>1</v>
      </c>
      <c r="E26" s="24">
        <f>INDEX(Output!$B$3:$P$17,MATCH('Defensive Summary'!E$1,Output!$A$3:$A$17,0),MATCH('Defensive Summary'!$A26,Output!$B$2:$P$2,0))*INDEX(Output!$B$3:$P$17,MATCH('Defensive Summary'!E$1,Output!$A$3:$A$17,0),MATCH('Defensive Summary'!$B26,Output!$B$2:$P$2,0))</f>
        <v>4</v>
      </c>
      <c r="F26" s="24">
        <f>INDEX(Output!$B$3:$P$17,MATCH('Defensive Summary'!F$1,Output!$A$3:$A$17,0),MATCH('Defensive Summary'!$A26,Output!$B$2:$P$2,0))*INDEX(Output!$B$3:$P$17,MATCH('Defensive Summary'!F$1,Output!$A$3:$A$17,0),MATCH('Defensive Summary'!$B26,Output!$B$2:$P$2,0))</f>
        <v>1</v>
      </c>
      <c r="G26" s="24">
        <f>INDEX(Output!$B$3:$P$17,MATCH('Defensive Summary'!G$1,Output!$A$3:$A$17,0),MATCH('Defensive Summary'!$A26,Output!$B$2:$P$2,0))*INDEX(Output!$B$3:$P$17,MATCH('Defensive Summary'!G$1,Output!$A$3:$A$17,0),MATCH('Defensive Summary'!$B26,Output!$B$2:$P$2,0))</f>
        <v>0.5</v>
      </c>
      <c r="H26" s="24">
        <f>INDEX(Output!$B$3:$P$17,MATCH('Defensive Summary'!H$1,Output!$A$3:$A$17,0),MATCH('Defensive Summary'!$A26,Output!$B$2:$P$2,0))*INDEX(Output!$B$3:$P$17,MATCH('Defensive Summary'!H$1,Output!$A$3:$A$17,0),MATCH('Defensive Summary'!$B26,Output!$B$2:$P$2,0))</f>
        <v>4</v>
      </c>
      <c r="I26" s="24">
        <f>INDEX(Output!$B$3:$P$17,MATCH('Defensive Summary'!I$1,Output!$A$3:$A$17,0),MATCH('Defensive Summary'!$A26,Output!$B$2:$P$2,0))*INDEX(Output!$B$3:$P$17,MATCH('Defensive Summary'!I$1,Output!$A$3:$A$17,0),MATCH('Defensive Summary'!$B26,Output!$B$2:$P$2,0))</f>
        <v>1</v>
      </c>
      <c r="J26" s="24">
        <f>INDEX(Output!$B$3:$P$17,MATCH('Defensive Summary'!J$1,Output!$A$3:$A$17,0),MATCH('Defensive Summary'!$A26,Output!$B$2:$P$2,0))*INDEX(Output!$B$3:$P$17,MATCH('Defensive Summary'!J$1,Output!$A$3:$A$17,0),MATCH('Defensive Summary'!$B26,Output!$B$2:$P$2,0))</f>
        <v>0.5</v>
      </c>
      <c r="K26" s="24">
        <f>INDEX(Output!$B$3:$P$17,MATCH('Defensive Summary'!K$1,Output!$A$3:$A$17,0),MATCH('Defensive Summary'!$A26,Output!$B$2:$P$2,0))*INDEX(Output!$B$3:$P$17,MATCH('Defensive Summary'!K$1,Output!$A$3:$A$17,0),MATCH('Defensive Summary'!$B26,Output!$B$2:$P$2,0))</f>
        <v>1</v>
      </c>
      <c r="L26" s="24">
        <f>INDEX(Output!$B$3:$P$17,MATCH('Defensive Summary'!L$1,Output!$A$3:$A$17,0),MATCH('Defensive Summary'!$A26,Output!$B$2:$P$2,0))*INDEX(Output!$B$3:$P$17,MATCH('Defensive Summary'!L$1,Output!$A$3:$A$17,0),MATCH('Defensive Summary'!$B26,Output!$B$2:$P$2,0))</f>
        <v>2</v>
      </c>
      <c r="M26" s="24">
        <f>INDEX(Output!$B$3:$P$17,MATCH('Defensive Summary'!M$1,Output!$A$3:$A$17,0),MATCH('Defensive Summary'!$A26,Output!$B$2:$P$2,0))*INDEX(Output!$B$3:$P$17,MATCH('Defensive Summary'!M$1,Output!$A$3:$A$17,0),MATCH('Defensive Summary'!$B26,Output!$B$2:$P$2,0))</f>
        <v>1</v>
      </c>
      <c r="N26" s="24">
        <f>INDEX(Output!$B$3:$P$17,MATCH('Defensive Summary'!N$1,Output!$A$3:$A$17,0),MATCH('Defensive Summary'!$A26,Output!$B$2:$P$2,0))*INDEX(Output!$B$3:$P$17,MATCH('Defensive Summary'!N$1,Output!$A$3:$A$17,0),MATCH('Defensive Summary'!$B26,Output!$B$2:$P$2,0))</f>
        <v>0</v>
      </c>
      <c r="O26" s="24">
        <f>INDEX(Output!$B$3:$P$17,MATCH('Defensive Summary'!O$1,Output!$A$3:$A$17,0),MATCH('Defensive Summary'!$A26,Output!$B$2:$P$2,0))*INDEX(Output!$B$3:$P$17,MATCH('Defensive Summary'!O$1,Output!$A$3:$A$17,0),MATCH('Defensive Summary'!$B26,Output!$B$2:$P$2,0))</f>
        <v>0.25</v>
      </c>
      <c r="P26" s="24">
        <f>INDEX(Output!$B$3:$P$17,MATCH('Defensive Summary'!P$1,Output!$A$3:$A$17,0),MATCH('Defensive Summary'!$A26,Output!$B$2:$P$2,0))*INDEX(Output!$B$3:$P$17,MATCH('Defensive Summary'!P$1,Output!$A$3:$A$17,0),MATCH('Defensive Summary'!$B26,Output!$B$2:$P$2,0))</f>
        <v>0</v>
      </c>
      <c r="Q26" s="24">
        <f>INDEX(Output!$B$3:$P$17,MATCH('Defensive Summary'!Q$1,Output!$A$3:$A$17,0),MATCH('Defensive Summary'!$A26,Output!$B$2:$P$2,0))*INDEX(Output!$B$3:$P$17,MATCH('Defensive Summary'!Q$1,Output!$A$3:$A$17,0),MATCH('Defensive Summary'!$B26,Output!$B$2:$P$2,0))</f>
        <v>1</v>
      </c>
      <c r="R26" s="24"/>
      <c r="S26" s="25">
        <f t="shared" si="0"/>
        <v>7</v>
      </c>
      <c r="T26" s="21" t="s">
        <v>1</v>
      </c>
      <c r="U26" s="22" t="s">
        <v>12</v>
      </c>
      <c r="V26" s="24" cm="1">
        <f t="array" ref="V26">_xlfn.IFS(C26=1,0,C26=2,-1,C26=4,-2,C26=0.5,1,C26=0.25,2,C26=0,4)</f>
        <v>0</v>
      </c>
      <c r="W26" s="24" cm="1">
        <f t="array" ref="W26">_xlfn.IFS(D26=1,0,D26=2,-1,D26=4,-2,D26=0.5,1,D26=0.25,2,D26=0,4)</f>
        <v>0</v>
      </c>
      <c r="X26" s="24" cm="1">
        <f t="array" ref="X26">_xlfn.IFS(E26=1,0,E26=2,-1,E26=4,-2,E26=0.5,1,E26=0.25,2,E26=0,4)</f>
        <v>-2</v>
      </c>
      <c r="Y26" s="24" cm="1">
        <f t="array" ref="Y26">_xlfn.IFS(F26=1,0,F26=2,-1,F26=4,-2,F26=0.5,1,F26=0.25,2,F26=0,4)</f>
        <v>0</v>
      </c>
      <c r="Z26" s="24" cm="1">
        <f t="array" ref="Z26">_xlfn.IFS(G26=1,0,G26=2,-1,G26=4,-2,G26=0.5,1,G26=0.25,2,G26=0,4)</f>
        <v>1</v>
      </c>
      <c r="AA26" s="24" cm="1">
        <f t="array" ref="AA26">_xlfn.IFS(H26=1,0,H26=2,-1,H26=4,-2,H26=0.5,1,H26=0.25,2,H26=0,4)</f>
        <v>-2</v>
      </c>
      <c r="AB26" s="24" cm="1">
        <f t="array" ref="AB26">_xlfn.IFS(I26=1,0,I26=2,-1,I26=4,-2,I26=0.5,1,I26=0.25,2,I26=0,4)</f>
        <v>0</v>
      </c>
      <c r="AC26" s="24" cm="1">
        <f t="array" ref="AC26">_xlfn.IFS(J26=1,0,J26=2,-1,J26=4,-2,J26=0.5,1,J26=0.25,2,J26=0,4)</f>
        <v>1</v>
      </c>
      <c r="AD26" s="24" cm="1">
        <f t="array" ref="AD26">_xlfn.IFS(K26=1,0,K26=2,-1,K26=4,-2,K26=0.5,1,K26=0.25,2,K26=0,4)</f>
        <v>0</v>
      </c>
      <c r="AE26" s="24" cm="1">
        <f t="array" ref="AE26">_xlfn.IFS(L26=1,0,L26=2,-1,L26=4,-2,L26=0.5,1,L26=0.25,2,L26=0,4)</f>
        <v>-1</v>
      </c>
      <c r="AF26" s="24" cm="1">
        <f t="array" ref="AF26">_xlfn.IFS(M26=1,0,M26=2,-1,M26=4,-2,M26=0.5,1,M26=0.25,2,M26=0,4)</f>
        <v>0</v>
      </c>
      <c r="AG26" s="24" cm="1">
        <f t="array" ref="AG26">_xlfn.IFS(N26=1,0,N26=2,-1,N26=4,-2,N26=0.5,1,N26=0.25,2,N26=0,4)</f>
        <v>4</v>
      </c>
      <c r="AH26" s="24" cm="1">
        <f t="array" ref="AH26">_xlfn.IFS(O26=1,0,O26=2,-1,O26=4,-2,O26=0.5,1,O26=0.25,2,O26=0,4)</f>
        <v>2</v>
      </c>
      <c r="AI26" s="24" cm="1">
        <f t="array" ref="AI26">_xlfn.IFS(P26=1,0,P26=2,-1,P26=4,-2,P26=0.5,1,P26=0.25,2,P26=0,4)</f>
        <v>4</v>
      </c>
      <c r="AJ26" s="24" cm="1">
        <f t="array" ref="AJ26">_xlfn.IFS(Q26=1,0,Q26=2,-1,Q26=4,-2,Q26=0.5,1,Q26=0.25,2,Q26=0,4)</f>
        <v>0</v>
      </c>
    </row>
    <row r="27" spans="1:36" x14ac:dyDescent="0.2">
      <c r="A27" s="21" t="s">
        <v>1</v>
      </c>
      <c r="B27" s="22" t="s">
        <v>13</v>
      </c>
      <c r="C27" s="24">
        <f>INDEX(Output!$B$3:$P$17,MATCH('Defensive Summary'!C$1,Output!$A$3:$A$17,0),MATCH('Defensive Summary'!$A27,Output!$B$2:$P$2,0))*INDEX(Output!$B$3:$P$17,MATCH('Defensive Summary'!C$1,Output!$A$3:$A$17,0),MATCH('Defensive Summary'!$B27,Output!$B$2:$P$2,0))</f>
        <v>0.5</v>
      </c>
      <c r="D27" s="24">
        <f>INDEX(Output!$B$3:$P$17,MATCH('Defensive Summary'!D$1,Output!$A$3:$A$17,0),MATCH('Defensive Summary'!$A27,Output!$B$2:$P$2,0))*INDEX(Output!$B$3:$P$17,MATCH('Defensive Summary'!D$1,Output!$A$3:$A$17,0),MATCH('Defensive Summary'!$B27,Output!$B$2:$P$2,0))</f>
        <v>0.25</v>
      </c>
      <c r="E27" s="24">
        <f>INDEX(Output!$B$3:$P$17,MATCH('Defensive Summary'!E$1,Output!$A$3:$A$17,0),MATCH('Defensive Summary'!$A27,Output!$B$2:$P$2,0))*INDEX(Output!$B$3:$P$17,MATCH('Defensive Summary'!E$1,Output!$A$3:$A$17,0),MATCH('Defensive Summary'!$B27,Output!$B$2:$P$2,0))</f>
        <v>2</v>
      </c>
      <c r="F27" s="24">
        <f>INDEX(Output!$B$3:$P$17,MATCH('Defensive Summary'!F$1,Output!$A$3:$A$17,0),MATCH('Defensive Summary'!$A27,Output!$B$2:$P$2,0))*INDEX(Output!$B$3:$P$17,MATCH('Defensive Summary'!F$1,Output!$A$3:$A$17,0),MATCH('Defensive Summary'!$B27,Output!$B$2:$P$2,0))</f>
        <v>1</v>
      </c>
      <c r="G27" s="24">
        <f>INDEX(Output!$B$3:$P$17,MATCH('Defensive Summary'!G$1,Output!$A$3:$A$17,0),MATCH('Defensive Summary'!$A27,Output!$B$2:$P$2,0))*INDEX(Output!$B$3:$P$17,MATCH('Defensive Summary'!G$1,Output!$A$3:$A$17,0),MATCH('Defensive Summary'!$B27,Output!$B$2:$P$2,0))</f>
        <v>1</v>
      </c>
      <c r="H27" s="24">
        <f>INDEX(Output!$B$3:$P$17,MATCH('Defensive Summary'!H$1,Output!$A$3:$A$17,0),MATCH('Defensive Summary'!$A27,Output!$B$2:$P$2,0))*INDEX(Output!$B$3:$P$17,MATCH('Defensive Summary'!H$1,Output!$A$3:$A$17,0),MATCH('Defensive Summary'!$B27,Output!$B$2:$P$2,0))</f>
        <v>1</v>
      </c>
      <c r="I27" s="24">
        <f>INDEX(Output!$B$3:$P$17,MATCH('Defensive Summary'!I$1,Output!$A$3:$A$17,0),MATCH('Defensive Summary'!$A27,Output!$B$2:$P$2,0))*INDEX(Output!$B$3:$P$17,MATCH('Defensive Summary'!I$1,Output!$A$3:$A$17,0),MATCH('Defensive Summary'!$B27,Output!$B$2:$P$2,0))</f>
        <v>0.25</v>
      </c>
      <c r="J27" s="24">
        <f>INDEX(Output!$B$3:$P$17,MATCH('Defensive Summary'!J$1,Output!$A$3:$A$17,0),MATCH('Defensive Summary'!$A27,Output!$B$2:$P$2,0))*INDEX(Output!$B$3:$P$17,MATCH('Defensive Summary'!J$1,Output!$A$3:$A$17,0),MATCH('Defensive Summary'!$B27,Output!$B$2:$P$2,0))</f>
        <v>1</v>
      </c>
      <c r="K27" s="24">
        <f>INDEX(Output!$B$3:$P$17,MATCH('Defensive Summary'!K$1,Output!$A$3:$A$17,0),MATCH('Defensive Summary'!$A27,Output!$B$2:$P$2,0))*INDEX(Output!$B$3:$P$17,MATCH('Defensive Summary'!K$1,Output!$A$3:$A$17,0),MATCH('Defensive Summary'!$B27,Output!$B$2:$P$2,0))</f>
        <v>2</v>
      </c>
      <c r="L27" s="24">
        <f>INDEX(Output!$B$3:$P$17,MATCH('Defensive Summary'!L$1,Output!$A$3:$A$17,0),MATCH('Defensive Summary'!$A27,Output!$B$2:$P$2,0))*INDEX(Output!$B$3:$P$17,MATCH('Defensive Summary'!L$1,Output!$A$3:$A$17,0),MATCH('Defensive Summary'!$B27,Output!$B$2:$P$2,0))</f>
        <v>1</v>
      </c>
      <c r="M27" s="24">
        <f>INDEX(Output!$B$3:$P$17,MATCH('Defensive Summary'!M$1,Output!$A$3:$A$17,0),MATCH('Defensive Summary'!$A27,Output!$B$2:$P$2,0))*INDEX(Output!$B$3:$P$17,MATCH('Defensive Summary'!M$1,Output!$A$3:$A$17,0),MATCH('Defensive Summary'!$B27,Output!$B$2:$P$2,0))</f>
        <v>0.5</v>
      </c>
      <c r="N27" s="24">
        <f>INDEX(Output!$B$3:$P$17,MATCH('Defensive Summary'!N$1,Output!$A$3:$A$17,0),MATCH('Defensive Summary'!$A27,Output!$B$2:$P$2,0))*INDEX(Output!$B$3:$P$17,MATCH('Defensive Summary'!N$1,Output!$A$3:$A$17,0),MATCH('Defensive Summary'!$B27,Output!$B$2:$P$2,0))</f>
        <v>0.5</v>
      </c>
      <c r="O27" s="24">
        <f>INDEX(Output!$B$3:$P$17,MATCH('Defensive Summary'!O$1,Output!$A$3:$A$17,0),MATCH('Defensive Summary'!$A27,Output!$B$2:$P$2,0))*INDEX(Output!$B$3:$P$17,MATCH('Defensive Summary'!O$1,Output!$A$3:$A$17,0),MATCH('Defensive Summary'!$B27,Output!$B$2:$P$2,0))</f>
        <v>1</v>
      </c>
      <c r="P27" s="24">
        <f>INDEX(Output!$B$3:$P$17,MATCH('Defensive Summary'!P$1,Output!$A$3:$A$17,0),MATCH('Defensive Summary'!$A27,Output!$B$2:$P$2,0))*INDEX(Output!$B$3:$P$17,MATCH('Defensive Summary'!P$1,Output!$A$3:$A$17,0),MATCH('Defensive Summary'!$B27,Output!$B$2:$P$2,0))</f>
        <v>0.5</v>
      </c>
      <c r="Q27" s="24">
        <f>INDEX(Output!$B$3:$P$17,MATCH('Defensive Summary'!Q$1,Output!$A$3:$A$17,0),MATCH('Defensive Summary'!$A27,Output!$B$2:$P$2,0))*INDEX(Output!$B$3:$P$17,MATCH('Defensive Summary'!Q$1,Output!$A$3:$A$17,0),MATCH('Defensive Summary'!$B27,Output!$B$2:$P$2,0))</f>
        <v>1</v>
      </c>
      <c r="R27" s="24"/>
      <c r="S27" s="25">
        <f t="shared" si="0"/>
        <v>6</v>
      </c>
      <c r="T27" s="21" t="s">
        <v>1</v>
      </c>
      <c r="U27" s="22" t="s">
        <v>13</v>
      </c>
      <c r="V27" s="24" cm="1">
        <f t="array" ref="V27">_xlfn.IFS(C27=1,0,C27=2,-1,C27=4,-2,C27=0.5,1,C27=0.25,2,C27=0,4)</f>
        <v>1</v>
      </c>
      <c r="W27" s="24" cm="1">
        <f t="array" ref="W27">_xlfn.IFS(D27=1,0,D27=2,-1,D27=4,-2,D27=0.5,1,D27=0.25,2,D27=0,4)</f>
        <v>2</v>
      </c>
      <c r="X27" s="24" cm="1">
        <f t="array" ref="X27">_xlfn.IFS(E27=1,0,E27=2,-1,E27=4,-2,E27=0.5,1,E27=0.25,2,E27=0,4)</f>
        <v>-1</v>
      </c>
      <c r="Y27" s="24" cm="1">
        <f t="array" ref="Y27">_xlfn.IFS(F27=1,0,F27=2,-1,F27=4,-2,F27=0.5,1,F27=0.25,2,F27=0,4)</f>
        <v>0</v>
      </c>
      <c r="Z27" s="24" cm="1">
        <f t="array" ref="Z27">_xlfn.IFS(G27=1,0,G27=2,-1,G27=4,-2,G27=0.5,1,G27=0.25,2,G27=0,4)</f>
        <v>0</v>
      </c>
      <c r="AA27" s="24" cm="1">
        <f t="array" ref="AA27">_xlfn.IFS(H27=1,0,H27=2,-1,H27=4,-2,H27=0.5,1,H27=0.25,2,H27=0,4)</f>
        <v>0</v>
      </c>
      <c r="AB27" s="24" cm="1">
        <f t="array" ref="AB27">_xlfn.IFS(I27=1,0,I27=2,-1,I27=4,-2,I27=0.5,1,I27=0.25,2,I27=0,4)</f>
        <v>2</v>
      </c>
      <c r="AC27" s="24" cm="1">
        <f t="array" ref="AC27">_xlfn.IFS(J27=1,0,J27=2,-1,J27=4,-2,J27=0.5,1,J27=0.25,2,J27=0,4)</f>
        <v>0</v>
      </c>
      <c r="AD27" s="24" cm="1">
        <f t="array" ref="AD27">_xlfn.IFS(K27=1,0,K27=2,-1,K27=4,-2,K27=0.5,1,K27=0.25,2,K27=0,4)</f>
        <v>-1</v>
      </c>
      <c r="AE27" s="24" cm="1">
        <f t="array" ref="AE27">_xlfn.IFS(L27=1,0,L27=2,-1,L27=4,-2,L27=0.5,1,L27=0.25,2,L27=0,4)</f>
        <v>0</v>
      </c>
      <c r="AF27" s="24" cm="1">
        <f t="array" ref="AF27">_xlfn.IFS(M27=1,0,M27=2,-1,M27=4,-2,M27=0.5,1,M27=0.25,2,M27=0,4)</f>
        <v>1</v>
      </c>
      <c r="AG27" s="24" cm="1">
        <f t="array" ref="AG27">_xlfn.IFS(N27=1,0,N27=2,-1,N27=4,-2,N27=0.5,1,N27=0.25,2,N27=0,4)</f>
        <v>1</v>
      </c>
      <c r="AH27" s="24" cm="1">
        <f t="array" ref="AH27">_xlfn.IFS(O27=1,0,O27=2,-1,O27=4,-2,O27=0.5,1,O27=0.25,2,O27=0,4)</f>
        <v>0</v>
      </c>
      <c r="AI27" s="24" cm="1">
        <f t="array" ref="AI27">_xlfn.IFS(P27=1,0,P27=2,-1,P27=4,-2,P27=0.5,1,P27=0.25,2,P27=0,4)</f>
        <v>1</v>
      </c>
      <c r="AJ27" s="24" cm="1">
        <f t="array" ref="AJ27">_xlfn.IFS(Q27=1,0,Q27=2,-1,Q27=4,-2,Q27=0.5,1,Q27=0.25,2,Q27=0,4)</f>
        <v>0</v>
      </c>
    </row>
    <row r="28" spans="1:36" x14ac:dyDescent="0.2">
      <c r="A28" s="21" t="s">
        <v>1</v>
      </c>
      <c r="B28" s="22" t="s">
        <v>14</v>
      </c>
      <c r="C28" s="24">
        <f>INDEX(Output!$B$3:$P$17,MATCH('Defensive Summary'!C$1,Output!$A$3:$A$17,0),MATCH('Defensive Summary'!$A28,Output!$B$2:$P$2,0))*INDEX(Output!$B$3:$P$17,MATCH('Defensive Summary'!C$1,Output!$A$3:$A$17,0),MATCH('Defensive Summary'!$B28,Output!$B$2:$P$2,0))</f>
        <v>0.5</v>
      </c>
      <c r="D28" s="24">
        <f>INDEX(Output!$B$3:$P$17,MATCH('Defensive Summary'!D$1,Output!$A$3:$A$17,0),MATCH('Defensive Summary'!$A28,Output!$B$2:$P$2,0))*INDEX(Output!$B$3:$P$17,MATCH('Defensive Summary'!D$1,Output!$A$3:$A$17,0),MATCH('Defensive Summary'!$B28,Output!$B$2:$P$2,0))</f>
        <v>0.5</v>
      </c>
      <c r="E28" s="24">
        <f>INDEX(Output!$B$3:$P$17,MATCH('Defensive Summary'!E$1,Output!$A$3:$A$17,0),MATCH('Defensive Summary'!$A28,Output!$B$2:$P$2,0))*INDEX(Output!$B$3:$P$17,MATCH('Defensive Summary'!E$1,Output!$A$3:$A$17,0),MATCH('Defensive Summary'!$B28,Output!$B$2:$P$2,0))</f>
        <v>2</v>
      </c>
      <c r="F28" s="24">
        <f>INDEX(Output!$B$3:$P$17,MATCH('Defensive Summary'!F$1,Output!$A$3:$A$17,0),MATCH('Defensive Summary'!$A28,Output!$B$2:$P$2,0))*INDEX(Output!$B$3:$P$17,MATCH('Defensive Summary'!F$1,Output!$A$3:$A$17,0),MATCH('Defensive Summary'!$B28,Output!$B$2:$P$2,0))</f>
        <v>1</v>
      </c>
      <c r="G28" s="24">
        <f>INDEX(Output!$B$3:$P$17,MATCH('Defensive Summary'!G$1,Output!$A$3:$A$17,0),MATCH('Defensive Summary'!$A28,Output!$B$2:$P$2,0))*INDEX(Output!$B$3:$P$17,MATCH('Defensive Summary'!G$1,Output!$A$3:$A$17,0),MATCH('Defensive Summary'!$B28,Output!$B$2:$P$2,0))</f>
        <v>1</v>
      </c>
      <c r="H28" s="24">
        <f>INDEX(Output!$B$3:$P$17,MATCH('Defensive Summary'!H$1,Output!$A$3:$A$17,0),MATCH('Defensive Summary'!$A28,Output!$B$2:$P$2,0))*INDEX(Output!$B$3:$P$17,MATCH('Defensive Summary'!H$1,Output!$A$3:$A$17,0),MATCH('Defensive Summary'!$B28,Output!$B$2:$P$2,0))</f>
        <v>2</v>
      </c>
      <c r="I28" s="24">
        <f>INDEX(Output!$B$3:$P$17,MATCH('Defensive Summary'!I$1,Output!$A$3:$A$17,0),MATCH('Defensive Summary'!$A28,Output!$B$2:$P$2,0))*INDEX(Output!$B$3:$P$17,MATCH('Defensive Summary'!I$1,Output!$A$3:$A$17,0),MATCH('Defensive Summary'!$B28,Output!$B$2:$P$2,0))</f>
        <v>0.5</v>
      </c>
      <c r="J28" s="24">
        <f>INDEX(Output!$B$3:$P$17,MATCH('Defensive Summary'!J$1,Output!$A$3:$A$17,0),MATCH('Defensive Summary'!$A28,Output!$B$2:$P$2,0))*INDEX(Output!$B$3:$P$17,MATCH('Defensive Summary'!J$1,Output!$A$3:$A$17,0),MATCH('Defensive Summary'!$B28,Output!$B$2:$P$2,0))</f>
        <v>1</v>
      </c>
      <c r="K28" s="24">
        <f>INDEX(Output!$B$3:$P$17,MATCH('Defensive Summary'!K$1,Output!$A$3:$A$17,0),MATCH('Defensive Summary'!$A28,Output!$B$2:$P$2,0))*INDEX(Output!$B$3:$P$17,MATCH('Defensive Summary'!K$1,Output!$A$3:$A$17,0),MATCH('Defensive Summary'!$B28,Output!$B$2:$P$2,0))</f>
        <v>1</v>
      </c>
      <c r="L28" s="24">
        <f>INDEX(Output!$B$3:$P$17,MATCH('Defensive Summary'!L$1,Output!$A$3:$A$17,0),MATCH('Defensive Summary'!$A28,Output!$B$2:$P$2,0))*INDEX(Output!$B$3:$P$17,MATCH('Defensive Summary'!L$1,Output!$A$3:$A$17,0),MATCH('Defensive Summary'!$B28,Output!$B$2:$P$2,0))</f>
        <v>1</v>
      </c>
      <c r="M28" s="24">
        <f>INDEX(Output!$B$3:$P$17,MATCH('Defensive Summary'!M$1,Output!$A$3:$A$17,0),MATCH('Defensive Summary'!$A28,Output!$B$2:$P$2,0))*INDEX(Output!$B$3:$P$17,MATCH('Defensive Summary'!M$1,Output!$A$3:$A$17,0),MATCH('Defensive Summary'!$B28,Output!$B$2:$P$2,0))</f>
        <v>1</v>
      </c>
      <c r="N28" s="24">
        <f>INDEX(Output!$B$3:$P$17,MATCH('Defensive Summary'!N$1,Output!$A$3:$A$17,0),MATCH('Defensive Summary'!$A28,Output!$B$2:$P$2,0))*INDEX(Output!$B$3:$P$17,MATCH('Defensive Summary'!N$1,Output!$A$3:$A$17,0),MATCH('Defensive Summary'!$B28,Output!$B$2:$P$2,0))</f>
        <v>1</v>
      </c>
      <c r="O28" s="24">
        <f>INDEX(Output!$B$3:$P$17,MATCH('Defensive Summary'!O$1,Output!$A$3:$A$17,0),MATCH('Defensive Summary'!$A28,Output!$B$2:$P$2,0))*INDEX(Output!$B$3:$P$17,MATCH('Defensive Summary'!O$1,Output!$A$3:$A$17,0),MATCH('Defensive Summary'!$B28,Output!$B$2:$P$2,0))</f>
        <v>0.5</v>
      </c>
      <c r="P28" s="24">
        <f>INDEX(Output!$B$3:$P$17,MATCH('Defensive Summary'!P$1,Output!$A$3:$A$17,0),MATCH('Defensive Summary'!$A28,Output!$B$2:$P$2,0))*INDEX(Output!$B$3:$P$17,MATCH('Defensive Summary'!P$1,Output!$A$3:$A$17,0),MATCH('Defensive Summary'!$B28,Output!$B$2:$P$2,0))</f>
        <v>1</v>
      </c>
      <c r="Q28" s="24">
        <f>INDEX(Output!$B$3:$P$17,MATCH('Defensive Summary'!Q$1,Output!$A$3:$A$17,0),MATCH('Defensive Summary'!$A28,Output!$B$2:$P$2,0))*INDEX(Output!$B$3:$P$17,MATCH('Defensive Summary'!Q$1,Output!$A$3:$A$17,0),MATCH('Defensive Summary'!$B28,Output!$B$2:$P$2,0))</f>
        <v>1</v>
      </c>
      <c r="R28" s="24"/>
      <c r="S28" s="25">
        <f t="shared" si="0"/>
        <v>2</v>
      </c>
      <c r="T28" s="21" t="s">
        <v>1</v>
      </c>
      <c r="U28" s="22" t="s">
        <v>14</v>
      </c>
      <c r="V28" s="24" cm="1">
        <f t="array" ref="V28">_xlfn.IFS(C28=1,0,C28=2,-1,C28=4,-2,C28=0.5,1,C28=0.25,2,C28=0,4)</f>
        <v>1</v>
      </c>
      <c r="W28" s="24" cm="1">
        <f t="array" ref="W28">_xlfn.IFS(D28=1,0,D28=2,-1,D28=4,-2,D28=0.5,1,D28=0.25,2,D28=0,4)</f>
        <v>1</v>
      </c>
      <c r="X28" s="24" cm="1">
        <f t="array" ref="X28">_xlfn.IFS(E28=1,0,E28=2,-1,E28=4,-2,E28=0.5,1,E28=0.25,2,E28=0,4)</f>
        <v>-1</v>
      </c>
      <c r="Y28" s="24" cm="1">
        <f t="array" ref="Y28">_xlfn.IFS(F28=1,0,F28=2,-1,F28=4,-2,F28=0.5,1,F28=0.25,2,F28=0,4)</f>
        <v>0</v>
      </c>
      <c r="Z28" s="24" cm="1">
        <f t="array" ref="Z28">_xlfn.IFS(G28=1,0,G28=2,-1,G28=4,-2,G28=0.5,1,G28=0.25,2,G28=0,4)</f>
        <v>0</v>
      </c>
      <c r="AA28" s="24" cm="1">
        <f t="array" ref="AA28">_xlfn.IFS(H28=1,0,H28=2,-1,H28=4,-2,H28=0.5,1,H28=0.25,2,H28=0,4)</f>
        <v>-1</v>
      </c>
      <c r="AB28" s="24" cm="1">
        <f t="array" ref="AB28">_xlfn.IFS(I28=1,0,I28=2,-1,I28=4,-2,I28=0.5,1,I28=0.25,2,I28=0,4)</f>
        <v>1</v>
      </c>
      <c r="AC28" s="24" cm="1">
        <f t="array" ref="AC28">_xlfn.IFS(J28=1,0,J28=2,-1,J28=4,-2,J28=0.5,1,J28=0.25,2,J28=0,4)</f>
        <v>0</v>
      </c>
      <c r="AD28" s="24" cm="1">
        <f t="array" ref="AD28">_xlfn.IFS(K28=1,0,K28=2,-1,K28=4,-2,K28=0.5,1,K28=0.25,2,K28=0,4)</f>
        <v>0</v>
      </c>
      <c r="AE28" s="24" cm="1">
        <f t="array" ref="AE28">_xlfn.IFS(L28=1,0,L28=2,-1,L28=4,-2,L28=0.5,1,L28=0.25,2,L28=0,4)</f>
        <v>0</v>
      </c>
      <c r="AF28" s="24" cm="1">
        <f t="array" ref="AF28">_xlfn.IFS(M28=1,0,M28=2,-1,M28=4,-2,M28=0.5,1,M28=0.25,2,M28=0,4)</f>
        <v>0</v>
      </c>
      <c r="AG28" s="24" cm="1">
        <f t="array" ref="AG28">_xlfn.IFS(N28=1,0,N28=2,-1,N28=4,-2,N28=0.5,1,N28=0.25,2,N28=0,4)</f>
        <v>0</v>
      </c>
      <c r="AH28" s="24" cm="1">
        <f t="array" ref="AH28">_xlfn.IFS(O28=1,0,O28=2,-1,O28=4,-2,O28=0.5,1,O28=0.25,2,O28=0,4)</f>
        <v>1</v>
      </c>
      <c r="AI28" s="24" cm="1">
        <f t="array" ref="AI28">_xlfn.IFS(P28=1,0,P28=2,-1,P28=4,-2,P28=0.5,1,P28=0.25,2,P28=0,4)</f>
        <v>0</v>
      </c>
      <c r="AJ28" s="24" cm="1">
        <f t="array" ref="AJ28">_xlfn.IFS(Q28=1,0,Q28=2,-1,Q28=4,-2,Q28=0.5,1,Q28=0.25,2,Q28=0,4)</f>
        <v>0</v>
      </c>
    </row>
    <row r="29" spans="1:36" x14ac:dyDescent="0.2">
      <c r="A29" s="22" t="s">
        <v>2</v>
      </c>
      <c r="B29" s="22" t="s">
        <v>3</v>
      </c>
      <c r="C29" s="24">
        <f>INDEX(Output!$B$3:$P$17,MATCH('Defensive Summary'!C$1,Output!$A$3:$A$17,0),MATCH('Defensive Summary'!$A29,Output!$B$2:$P$2,0))*INDEX(Output!$B$3:$P$17,MATCH('Defensive Summary'!C$1,Output!$A$3:$A$17,0),MATCH('Defensive Summary'!$B29,Output!$B$2:$P$2,0))</f>
        <v>4</v>
      </c>
      <c r="D29" s="24">
        <f>INDEX(Output!$B$3:$P$17,MATCH('Defensive Summary'!D$1,Output!$A$3:$A$17,0),MATCH('Defensive Summary'!$A29,Output!$B$2:$P$2,0))*INDEX(Output!$B$3:$P$17,MATCH('Defensive Summary'!D$1,Output!$A$3:$A$17,0),MATCH('Defensive Summary'!$B29,Output!$B$2:$P$2,0))</f>
        <v>1</v>
      </c>
      <c r="E29" s="24">
        <f>INDEX(Output!$B$3:$P$17,MATCH('Defensive Summary'!E$1,Output!$A$3:$A$17,0),MATCH('Defensive Summary'!$A29,Output!$B$2:$P$2,0))*INDEX(Output!$B$3:$P$17,MATCH('Defensive Summary'!E$1,Output!$A$3:$A$17,0),MATCH('Defensive Summary'!$B29,Output!$B$2:$P$2,0))</f>
        <v>1</v>
      </c>
      <c r="F29" s="24">
        <f>INDEX(Output!$B$3:$P$17,MATCH('Defensive Summary'!F$1,Output!$A$3:$A$17,0),MATCH('Defensive Summary'!$A29,Output!$B$2:$P$2,0))*INDEX(Output!$B$3:$P$17,MATCH('Defensive Summary'!F$1,Output!$A$3:$A$17,0),MATCH('Defensive Summary'!$B29,Output!$B$2:$P$2,0))</f>
        <v>0.25</v>
      </c>
      <c r="G29" s="24">
        <f>INDEX(Output!$B$3:$P$17,MATCH('Defensive Summary'!G$1,Output!$A$3:$A$17,0),MATCH('Defensive Summary'!$A29,Output!$B$2:$P$2,0))*INDEX(Output!$B$3:$P$17,MATCH('Defensive Summary'!G$1,Output!$A$3:$A$17,0),MATCH('Defensive Summary'!$B29,Output!$B$2:$P$2,0))</f>
        <v>0</v>
      </c>
      <c r="H29" s="24">
        <f>INDEX(Output!$B$3:$P$17,MATCH('Defensive Summary'!H$1,Output!$A$3:$A$17,0),MATCH('Defensive Summary'!$A29,Output!$B$2:$P$2,0))*INDEX(Output!$B$3:$P$17,MATCH('Defensive Summary'!H$1,Output!$A$3:$A$17,0),MATCH('Defensive Summary'!$B29,Output!$B$2:$P$2,0))</f>
        <v>0</v>
      </c>
      <c r="I29" s="24">
        <f>INDEX(Output!$B$3:$P$17,MATCH('Defensive Summary'!I$1,Output!$A$3:$A$17,0),MATCH('Defensive Summary'!$A29,Output!$B$2:$P$2,0))*INDEX(Output!$B$3:$P$17,MATCH('Defensive Summary'!I$1,Output!$A$3:$A$17,0),MATCH('Defensive Summary'!$B29,Output!$B$2:$P$2,0))</f>
        <v>1</v>
      </c>
      <c r="J29" s="24">
        <f>INDEX(Output!$B$3:$P$17,MATCH('Defensive Summary'!J$1,Output!$A$3:$A$17,0),MATCH('Defensive Summary'!$A29,Output!$B$2:$P$2,0))*INDEX(Output!$B$3:$P$17,MATCH('Defensive Summary'!J$1,Output!$A$3:$A$17,0),MATCH('Defensive Summary'!$B29,Output!$B$2:$P$2,0))</f>
        <v>0.5</v>
      </c>
      <c r="K29" s="24">
        <f>INDEX(Output!$B$3:$P$17,MATCH('Defensive Summary'!K$1,Output!$A$3:$A$17,0),MATCH('Defensive Summary'!$A29,Output!$B$2:$P$2,0))*INDEX(Output!$B$3:$P$17,MATCH('Defensive Summary'!K$1,Output!$A$3:$A$17,0),MATCH('Defensive Summary'!$B29,Output!$B$2:$P$2,0))</f>
        <v>0.25</v>
      </c>
      <c r="L29" s="24">
        <f>INDEX(Output!$B$3:$P$17,MATCH('Defensive Summary'!L$1,Output!$A$3:$A$17,0),MATCH('Defensive Summary'!$A29,Output!$B$2:$P$2,0))*INDEX(Output!$B$3:$P$17,MATCH('Defensive Summary'!L$1,Output!$A$3:$A$17,0),MATCH('Defensive Summary'!$B29,Output!$B$2:$P$2,0))</f>
        <v>0.5</v>
      </c>
      <c r="M29" s="24">
        <f>INDEX(Output!$B$3:$P$17,MATCH('Defensive Summary'!M$1,Output!$A$3:$A$17,0),MATCH('Defensive Summary'!$A29,Output!$B$2:$P$2,0))*INDEX(Output!$B$3:$P$17,MATCH('Defensive Summary'!M$1,Output!$A$3:$A$17,0),MATCH('Defensive Summary'!$B29,Output!$B$2:$P$2,0))</f>
        <v>1</v>
      </c>
      <c r="N29" s="24">
        <f>INDEX(Output!$B$3:$P$17,MATCH('Defensive Summary'!N$1,Output!$A$3:$A$17,0),MATCH('Defensive Summary'!$A29,Output!$B$2:$P$2,0))*INDEX(Output!$B$3:$P$17,MATCH('Defensive Summary'!N$1,Output!$A$3:$A$17,0),MATCH('Defensive Summary'!$B29,Output!$B$2:$P$2,0))</f>
        <v>1</v>
      </c>
      <c r="O29" s="24">
        <f>INDEX(Output!$B$3:$P$17,MATCH('Defensive Summary'!O$1,Output!$A$3:$A$17,0),MATCH('Defensive Summary'!$A29,Output!$B$2:$P$2,0))*INDEX(Output!$B$3:$P$17,MATCH('Defensive Summary'!O$1,Output!$A$3:$A$17,0),MATCH('Defensive Summary'!$B29,Output!$B$2:$P$2,0))</f>
        <v>1</v>
      </c>
      <c r="P29" s="24">
        <f>INDEX(Output!$B$3:$P$17,MATCH('Defensive Summary'!P$1,Output!$A$3:$A$17,0),MATCH('Defensive Summary'!$A29,Output!$B$2:$P$2,0))*INDEX(Output!$B$3:$P$17,MATCH('Defensive Summary'!P$1,Output!$A$3:$A$17,0),MATCH('Defensive Summary'!$B29,Output!$B$2:$P$2,0))</f>
        <v>1</v>
      </c>
      <c r="Q29" s="24">
        <f>INDEX(Output!$B$3:$P$17,MATCH('Defensive Summary'!Q$1,Output!$A$3:$A$17,0),MATCH('Defensive Summary'!$A29,Output!$B$2:$P$2,0))*INDEX(Output!$B$3:$P$17,MATCH('Defensive Summary'!Q$1,Output!$A$3:$A$17,0),MATCH('Defensive Summary'!$B29,Output!$B$2:$P$2,0))</f>
        <v>1</v>
      </c>
      <c r="R29" s="24"/>
      <c r="S29" s="25">
        <f t="shared" si="0"/>
        <v>12</v>
      </c>
      <c r="T29" s="22" t="s">
        <v>2</v>
      </c>
      <c r="U29" s="22" t="s">
        <v>3</v>
      </c>
      <c r="V29" s="24" cm="1">
        <f t="array" ref="V29">_xlfn.IFS(C29=1,0,C29=2,-1,C29=4,-2,C29=0.5,1,C29=0.25,2,C29=0,4)</f>
        <v>-2</v>
      </c>
      <c r="W29" s="24" cm="1">
        <f t="array" ref="W29">_xlfn.IFS(D29=1,0,D29=2,-1,D29=4,-2,D29=0.5,1,D29=0.25,2,D29=0,4)</f>
        <v>0</v>
      </c>
      <c r="X29" s="24" cm="1">
        <f t="array" ref="X29">_xlfn.IFS(E29=1,0,E29=2,-1,E29=4,-2,E29=0.5,1,E29=0.25,2,E29=0,4)</f>
        <v>0</v>
      </c>
      <c r="Y29" s="24" cm="1">
        <f t="array" ref="Y29">_xlfn.IFS(F29=1,0,F29=2,-1,F29=4,-2,F29=0.5,1,F29=0.25,2,F29=0,4)</f>
        <v>2</v>
      </c>
      <c r="Z29" s="24" cm="1">
        <f t="array" ref="Z29">_xlfn.IFS(G29=1,0,G29=2,-1,G29=4,-2,G29=0.5,1,G29=0.25,2,G29=0,4)</f>
        <v>4</v>
      </c>
      <c r="AA29" s="24" cm="1">
        <f t="array" ref="AA29">_xlfn.IFS(H29=1,0,H29=2,-1,H29=4,-2,H29=0.5,1,H29=0.25,2,H29=0,4)</f>
        <v>4</v>
      </c>
      <c r="AB29" s="24" cm="1">
        <f t="array" ref="AB29">_xlfn.IFS(I29=1,0,I29=2,-1,I29=4,-2,I29=0.5,1,I29=0.25,2,I29=0,4)</f>
        <v>0</v>
      </c>
      <c r="AC29" s="24" cm="1">
        <f t="array" ref="AC29">_xlfn.IFS(J29=1,0,J29=2,-1,J29=4,-2,J29=0.5,1,J29=0.25,2,J29=0,4)</f>
        <v>1</v>
      </c>
      <c r="AD29" s="24" cm="1">
        <f t="array" ref="AD29">_xlfn.IFS(K29=1,0,K29=2,-1,K29=4,-2,K29=0.5,1,K29=0.25,2,K29=0,4)</f>
        <v>2</v>
      </c>
      <c r="AE29" s="24" cm="1">
        <f t="array" ref="AE29">_xlfn.IFS(L29=1,0,L29=2,-1,L29=4,-2,L29=0.5,1,L29=0.25,2,L29=0,4)</f>
        <v>1</v>
      </c>
      <c r="AF29" s="24" cm="1">
        <f t="array" ref="AF29">_xlfn.IFS(M29=1,0,M29=2,-1,M29=4,-2,M29=0.5,1,M29=0.25,2,M29=0,4)</f>
        <v>0</v>
      </c>
      <c r="AG29" s="24" cm="1">
        <f t="array" ref="AG29">_xlfn.IFS(N29=1,0,N29=2,-1,N29=4,-2,N29=0.5,1,N29=0.25,2,N29=0,4)</f>
        <v>0</v>
      </c>
      <c r="AH29" s="24" cm="1">
        <f t="array" ref="AH29">_xlfn.IFS(O29=1,0,O29=2,-1,O29=4,-2,O29=0.5,1,O29=0.25,2,O29=0,4)</f>
        <v>0</v>
      </c>
      <c r="AI29" s="24" cm="1">
        <f t="array" ref="AI29">_xlfn.IFS(P29=1,0,P29=2,-1,P29=4,-2,P29=0.5,1,P29=0.25,2,P29=0,4)</f>
        <v>0</v>
      </c>
      <c r="AJ29" s="24" cm="1">
        <f t="array" ref="AJ29">_xlfn.IFS(Q29=1,0,Q29=2,-1,Q29=4,-2,Q29=0.5,1,Q29=0.25,2,Q29=0,4)</f>
        <v>0</v>
      </c>
    </row>
    <row r="30" spans="1:36" x14ac:dyDescent="0.2">
      <c r="A30" s="22" t="s">
        <v>2</v>
      </c>
      <c r="B30" s="22" t="s">
        <v>4</v>
      </c>
      <c r="C30" s="24">
        <f>INDEX(Output!$B$3:$P$17,MATCH('Defensive Summary'!C$1,Output!$A$3:$A$17,0),MATCH('Defensive Summary'!$A30,Output!$B$2:$P$2,0))*INDEX(Output!$B$3:$P$17,MATCH('Defensive Summary'!C$1,Output!$A$3:$A$17,0),MATCH('Defensive Summary'!$B30,Output!$B$2:$P$2,0))</f>
        <v>1</v>
      </c>
      <c r="D30" s="24">
        <f>INDEX(Output!$B$3:$P$17,MATCH('Defensive Summary'!D$1,Output!$A$3:$A$17,0),MATCH('Defensive Summary'!$A30,Output!$B$2:$P$2,0))*INDEX(Output!$B$3:$P$17,MATCH('Defensive Summary'!D$1,Output!$A$3:$A$17,0),MATCH('Defensive Summary'!$B30,Output!$B$2:$P$2,0))</f>
        <v>0.5</v>
      </c>
      <c r="E30" s="24">
        <f>INDEX(Output!$B$3:$P$17,MATCH('Defensive Summary'!E$1,Output!$A$3:$A$17,0),MATCH('Defensive Summary'!$A30,Output!$B$2:$P$2,0))*INDEX(Output!$B$3:$P$17,MATCH('Defensive Summary'!E$1,Output!$A$3:$A$17,0),MATCH('Defensive Summary'!$B30,Output!$B$2:$P$2,0))</f>
        <v>0.25</v>
      </c>
      <c r="F30" s="24">
        <f>INDEX(Output!$B$3:$P$17,MATCH('Defensive Summary'!F$1,Output!$A$3:$A$17,0),MATCH('Defensive Summary'!$A30,Output!$B$2:$P$2,0))*INDEX(Output!$B$3:$P$17,MATCH('Defensive Summary'!F$1,Output!$A$3:$A$17,0),MATCH('Defensive Summary'!$B30,Output!$B$2:$P$2,0))</f>
        <v>0</v>
      </c>
      <c r="G30" s="24">
        <f>INDEX(Output!$B$3:$P$17,MATCH('Defensive Summary'!G$1,Output!$A$3:$A$17,0),MATCH('Defensive Summary'!$A30,Output!$B$2:$P$2,0))*INDEX(Output!$B$3:$P$17,MATCH('Defensive Summary'!G$1,Output!$A$3:$A$17,0),MATCH('Defensive Summary'!$B30,Output!$B$2:$P$2,0))</f>
        <v>0.5</v>
      </c>
      <c r="H30" s="24">
        <f>INDEX(Output!$B$3:$P$17,MATCH('Defensive Summary'!H$1,Output!$A$3:$A$17,0),MATCH('Defensive Summary'!$A30,Output!$B$2:$P$2,0))*INDEX(Output!$B$3:$P$17,MATCH('Defensive Summary'!H$1,Output!$A$3:$A$17,0),MATCH('Defensive Summary'!$B30,Output!$B$2:$P$2,0))</f>
        <v>2</v>
      </c>
      <c r="I30" s="24">
        <f>INDEX(Output!$B$3:$P$17,MATCH('Defensive Summary'!I$1,Output!$A$3:$A$17,0),MATCH('Defensive Summary'!$A30,Output!$B$2:$P$2,0))*INDEX(Output!$B$3:$P$17,MATCH('Defensive Summary'!I$1,Output!$A$3:$A$17,0),MATCH('Defensive Summary'!$B30,Output!$B$2:$P$2,0))</f>
        <v>4</v>
      </c>
      <c r="J30" s="24">
        <f>INDEX(Output!$B$3:$P$17,MATCH('Defensive Summary'!J$1,Output!$A$3:$A$17,0),MATCH('Defensive Summary'!$A30,Output!$B$2:$P$2,0))*INDEX(Output!$B$3:$P$17,MATCH('Defensive Summary'!J$1,Output!$A$3:$A$17,0),MATCH('Defensive Summary'!$B30,Output!$B$2:$P$2,0))</f>
        <v>2</v>
      </c>
      <c r="K30" s="24">
        <f>INDEX(Output!$B$3:$P$17,MATCH('Defensive Summary'!K$1,Output!$A$3:$A$17,0),MATCH('Defensive Summary'!$A30,Output!$B$2:$P$2,0))*INDEX(Output!$B$3:$P$17,MATCH('Defensive Summary'!K$1,Output!$A$3:$A$17,0),MATCH('Defensive Summary'!$B30,Output!$B$2:$P$2,0))</f>
        <v>0.5</v>
      </c>
      <c r="L30" s="24">
        <f>INDEX(Output!$B$3:$P$17,MATCH('Defensive Summary'!L$1,Output!$A$3:$A$17,0),MATCH('Defensive Summary'!$A30,Output!$B$2:$P$2,0))*INDEX(Output!$B$3:$P$17,MATCH('Defensive Summary'!L$1,Output!$A$3:$A$17,0),MATCH('Defensive Summary'!$B30,Output!$B$2:$P$2,0))</f>
        <v>1</v>
      </c>
      <c r="M30" s="24">
        <f>INDEX(Output!$B$3:$P$17,MATCH('Defensive Summary'!M$1,Output!$A$3:$A$17,0),MATCH('Defensive Summary'!$A30,Output!$B$2:$P$2,0))*INDEX(Output!$B$3:$P$17,MATCH('Defensive Summary'!M$1,Output!$A$3:$A$17,0),MATCH('Defensive Summary'!$B30,Output!$B$2:$P$2,0))</f>
        <v>2</v>
      </c>
      <c r="N30" s="24">
        <f>INDEX(Output!$B$3:$P$17,MATCH('Defensive Summary'!N$1,Output!$A$3:$A$17,0),MATCH('Defensive Summary'!$A30,Output!$B$2:$P$2,0))*INDEX(Output!$B$3:$P$17,MATCH('Defensive Summary'!N$1,Output!$A$3:$A$17,0),MATCH('Defensive Summary'!$B30,Output!$B$2:$P$2,0))</f>
        <v>2</v>
      </c>
      <c r="O30" s="24">
        <f>INDEX(Output!$B$3:$P$17,MATCH('Defensive Summary'!O$1,Output!$A$3:$A$17,0),MATCH('Defensive Summary'!$A30,Output!$B$2:$P$2,0))*INDEX(Output!$B$3:$P$17,MATCH('Defensive Summary'!O$1,Output!$A$3:$A$17,0),MATCH('Defensive Summary'!$B30,Output!$B$2:$P$2,0))</f>
        <v>1</v>
      </c>
      <c r="P30" s="24">
        <f>INDEX(Output!$B$3:$P$17,MATCH('Defensive Summary'!P$1,Output!$A$3:$A$17,0),MATCH('Defensive Summary'!$A30,Output!$B$2:$P$2,0))*INDEX(Output!$B$3:$P$17,MATCH('Defensive Summary'!P$1,Output!$A$3:$A$17,0),MATCH('Defensive Summary'!$B30,Output!$B$2:$P$2,0))</f>
        <v>2</v>
      </c>
      <c r="Q30" s="24">
        <f>INDEX(Output!$B$3:$P$17,MATCH('Defensive Summary'!Q$1,Output!$A$3:$A$17,0),MATCH('Defensive Summary'!$A30,Output!$B$2:$P$2,0))*INDEX(Output!$B$3:$P$17,MATCH('Defensive Summary'!Q$1,Output!$A$3:$A$17,0),MATCH('Defensive Summary'!$B30,Output!$B$2:$P$2,0))</f>
        <v>1</v>
      </c>
      <c r="R30" s="24"/>
      <c r="S30" s="25">
        <f t="shared" si="0"/>
        <v>2</v>
      </c>
      <c r="T30" s="22" t="s">
        <v>2</v>
      </c>
      <c r="U30" s="22" t="s">
        <v>4</v>
      </c>
      <c r="V30" s="24" cm="1">
        <f t="array" ref="V30">_xlfn.IFS(C30=1,0,C30=2,-1,C30=4,-2,C30=0.5,1,C30=0.25,2,C30=0,4)</f>
        <v>0</v>
      </c>
      <c r="W30" s="24" cm="1">
        <f t="array" ref="W30">_xlfn.IFS(D30=1,0,D30=2,-1,D30=4,-2,D30=0.5,1,D30=0.25,2,D30=0,4)</f>
        <v>1</v>
      </c>
      <c r="X30" s="24" cm="1">
        <f t="array" ref="X30">_xlfn.IFS(E30=1,0,E30=2,-1,E30=4,-2,E30=0.5,1,E30=0.25,2,E30=0,4)</f>
        <v>2</v>
      </c>
      <c r="Y30" s="24" cm="1">
        <f t="array" ref="Y30">_xlfn.IFS(F30=1,0,F30=2,-1,F30=4,-2,F30=0.5,1,F30=0.25,2,F30=0,4)</f>
        <v>4</v>
      </c>
      <c r="Z30" s="24" cm="1">
        <f t="array" ref="Z30">_xlfn.IFS(G30=1,0,G30=2,-1,G30=4,-2,G30=0.5,1,G30=0.25,2,G30=0,4)</f>
        <v>1</v>
      </c>
      <c r="AA30" s="24" cm="1">
        <f t="array" ref="AA30">_xlfn.IFS(H30=1,0,H30=2,-1,H30=4,-2,H30=0.5,1,H30=0.25,2,H30=0,4)</f>
        <v>-1</v>
      </c>
      <c r="AB30" s="24" cm="1">
        <f t="array" ref="AB30">_xlfn.IFS(I30=1,0,I30=2,-1,I30=4,-2,I30=0.5,1,I30=0.25,2,I30=0,4)</f>
        <v>-2</v>
      </c>
      <c r="AC30" s="24" cm="1">
        <f t="array" ref="AC30">_xlfn.IFS(J30=1,0,J30=2,-1,J30=4,-2,J30=0.5,1,J30=0.25,2,J30=0,4)</f>
        <v>-1</v>
      </c>
      <c r="AD30" s="24" cm="1">
        <f t="array" ref="AD30">_xlfn.IFS(K30=1,0,K30=2,-1,K30=4,-2,K30=0.5,1,K30=0.25,2,K30=0,4)</f>
        <v>1</v>
      </c>
      <c r="AE30" s="24" cm="1">
        <f t="array" ref="AE30">_xlfn.IFS(L30=1,0,L30=2,-1,L30=4,-2,L30=0.5,1,L30=0.25,2,L30=0,4)</f>
        <v>0</v>
      </c>
      <c r="AF30" s="24" cm="1">
        <f t="array" ref="AF30">_xlfn.IFS(M30=1,0,M30=2,-1,M30=4,-2,M30=0.5,1,M30=0.25,2,M30=0,4)</f>
        <v>-1</v>
      </c>
      <c r="AG30" s="24" cm="1">
        <f t="array" ref="AG30">_xlfn.IFS(N30=1,0,N30=2,-1,N30=4,-2,N30=0.5,1,N30=0.25,2,N30=0,4)</f>
        <v>-1</v>
      </c>
      <c r="AH30" s="24" cm="1">
        <f t="array" ref="AH30">_xlfn.IFS(O30=1,0,O30=2,-1,O30=4,-2,O30=0.5,1,O30=0.25,2,O30=0,4)</f>
        <v>0</v>
      </c>
      <c r="AI30" s="24" cm="1">
        <f t="array" ref="AI30">_xlfn.IFS(P30=1,0,P30=2,-1,P30=4,-2,P30=0.5,1,P30=0.25,2,P30=0,4)</f>
        <v>-1</v>
      </c>
      <c r="AJ30" s="24" cm="1">
        <f t="array" ref="AJ30">_xlfn.IFS(Q30=1,0,Q30=2,-1,Q30=4,-2,Q30=0.5,1,Q30=0.25,2,Q30=0,4)</f>
        <v>0</v>
      </c>
    </row>
    <row r="31" spans="1:36" x14ac:dyDescent="0.2">
      <c r="A31" s="22" t="s">
        <v>2</v>
      </c>
      <c r="B31" s="22" t="s">
        <v>96</v>
      </c>
      <c r="C31" s="24">
        <f>INDEX(Output!$B$3:$P$17,MATCH('Defensive Summary'!C$1,Output!$A$3:$A$17,0),MATCH('Defensive Summary'!$A31,Output!$B$2:$P$2,0))*INDEX(Output!$B$3:$P$17,MATCH('Defensive Summary'!C$1,Output!$A$3:$A$17,0),MATCH('Defensive Summary'!$B31,Output!$B$2:$P$2,0))</f>
        <v>2</v>
      </c>
      <c r="D31" s="24">
        <f>INDEX(Output!$B$3:$P$17,MATCH('Defensive Summary'!D$1,Output!$A$3:$A$17,0),MATCH('Defensive Summary'!$A31,Output!$B$2:$P$2,0))*INDEX(Output!$B$3:$P$17,MATCH('Defensive Summary'!D$1,Output!$A$3:$A$17,0),MATCH('Defensive Summary'!$B31,Output!$B$2:$P$2,0))</f>
        <v>0.5</v>
      </c>
      <c r="E31" s="24">
        <f>INDEX(Output!$B$3:$P$17,MATCH('Defensive Summary'!E$1,Output!$A$3:$A$17,0),MATCH('Defensive Summary'!$A31,Output!$B$2:$P$2,0))*INDEX(Output!$B$3:$P$17,MATCH('Defensive Summary'!E$1,Output!$A$3:$A$17,0),MATCH('Defensive Summary'!$B31,Output!$B$2:$P$2,0))</f>
        <v>0.5</v>
      </c>
      <c r="F31" s="24">
        <f>INDEX(Output!$B$3:$P$17,MATCH('Defensive Summary'!F$1,Output!$A$3:$A$17,0),MATCH('Defensive Summary'!$A31,Output!$B$2:$P$2,0))*INDEX(Output!$B$3:$P$17,MATCH('Defensive Summary'!F$1,Output!$A$3:$A$17,0),MATCH('Defensive Summary'!$B31,Output!$B$2:$P$2,0))</f>
        <v>1</v>
      </c>
      <c r="G31" s="24">
        <f>INDEX(Output!$B$3:$P$17,MATCH('Defensive Summary'!G$1,Output!$A$3:$A$17,0),MATCH('Defensive Summary'!$A31,Output!$B$2:$P$2,0))*INDEX(Output!$B$3:$P$17,MATCH('Defensive Summary'!G$1,Output!$A$3:$A$17,0),MATCH('Defensive Summary'!$B31,Output!$B$2:$P$2,0))</f>
        <v>1</v>
      </c>
      <c r="H31" s="24">
        <f>INDEX(Output!$B$3:$P$17,MATCH('Defensive Summary'!H$1,Output!$A$3:$A$17,0),MATCH('Defensive Summary'!$A31,Output!$B$2:$P$2,0))*INDEX(Output!$B$3:$P$17,MATCH('Defensive Summary'!H$1,Output!$A$3:$A$17,0),MATCH('Defensive Summary'!$B31,Output!$B$2:$P$2,0))</f>
        <v>0.5</v>
      </c>
      <c r="I31" s="24">
        <f>INDEX(Output!$B$3:$P$17,MATCH('Defensive Summary'!I$1,Output!$A$3:$A$17,0),MATCH('Defensive Summary'!$A31,Output!$B$2:$P$2,0))*INDEX(Output!$B$3:$P$17,MATCH('Defensive Summary'!I$1,Output!$A$3:$A$17,0),MATCH('Defensive Summary'!$B31,Output!$B$2:$P$2,0))</f>
        <v>1</v>
      </c>
      <c r="J31" s="24">
        <f>INDEX(Output!$B$3:$P$17,MATCH('Defensive Summary'!J$1,Output!$A$3:$A$17,0),MATCH('Defensive Summary'!$A31,Output!$B$2:$P$2,0))*INDEX(Output!$B$3:$P$17,MATCH('Defensive Summary'!J$1,Output!$A$3:$A$17,0),MATCH('Defensive Summary'!$B31,Output!$B$2:$P$2,0))</f>
        <v>2</v>
      </c>
      <c r="K31" s="24">
        <f>INDEX(Output!$B$3:$P$17,MATCH('Defensive Summary'!K$1,Output!$A$3:$A$17,0),MATCH('Defensive Summary'!$A31,Output!$B$2:$P$2,0))*INDEX(Output!$B$3:$P$17,MATCH('Defensive Summary'!K$1,Output!$A$3:$A$17,0),MATCH('Defensive Summary'!$B31,Output!$B$2:$P$2,0))</f>
        <v>0.25</v>
      </c>
      <c r="L31" s="24">
        <f>INDEX(Output!$B$3:$P$17,MATCH('Defensive Summary'!L$1,Output!$A$3:$A$17,0),MATCH('Defensive Summary'!$A31,Output!$B$2:$P$2,0))*INDEX(Output!$B$3:$P$17,MATCH('Defensive Summary'!L$1,Output!$A$3:$A$17,0),MATCH('Defensive Summary'!$B31,Output!$B$2:$P$2,0))</f>
        <v>2</v>
      </c>
      <c r="M31" s="24">
        <f>INDEX(Output!$B$3:$P$17,MATCH('Defensive Summary'!M$1,Output!$A$3:$A$17,0),MATCH('Defensive Summary'!$A31,Output!$B$2:$P$2,0))*INDEX(Output!$B$3:$P$17,MATCH('Defensive Summary'!M$1,Output!$A$3:$A$17,0),MATCH('Defensive Summary'!$B31,Output!$B$2:$P$2,0))</f>
        <v>0.5</v>
      </c>
      <c r="N31" s="24">
        <f>INDEX(Output!$B$3:$P$17,MATCH('Defensive Summary'!N$1,Output!$A$3:$A$17,0),MATCH('Defensive Summary'!$A31,Output!$B$2:$P$2,0))*INDEX(Output!$B$3:$P$17,MATCH('Defensive Summary'!N$1,Output!$A$3:$A$17,0),MATCH('Defensive Summary'!$B31,Output!$B$2:$P$2,0))</f>
        <v>1</v>
      </c>
      <c r="O31" s="24">
        <f>INDEX(Output!$B$3:$P$17,MATCH('Defensive Summary'!O$1,Output!$A$3:$A$17,0),MATCH('Defensive Summary'!$A31,Output!$B$2:$P$2,0))*INDEX(Output!$B$3:$P$17,MATCH('Defensive Summary'!O$1,Output!$A$3:$A$17,0),MATCH('Defensive Summary'!$B31,Output!$B$2:$P$2,0))</f>
        <v>1</v>
      </c>
      <c r="P31" s="24">
        <f>INDEX(Output!$B$3:$P$17,MATCH('Defensive Summary'!P$1,Output!$A$3:$A$17,0),MATCH('Defensive Summary'!$A31,Output!$B$2:$P$2,0))*INDEX(Output!$B$3:$P$17,MATCH('Defensive Summary'!P$1,Output!$A$3:$A$17,0),MATCH('Defensive Summary'!$B31,Output!$B$2:$P$2,0))</f>
        <v>1</v>
      </c>
      <c r="Q31" s="24">
        <f>INDEX(Output!$B$3:$P$17,MATCH('Defensive Summary'!Q$1,Output!$A$3:$A$17,0),MATCH('Defensive Summary'!$A31,Output!$B$2:$P$2,0))*INDEX(Output!$B$3:$P$17,MATCH('Defensive Summary'!Q$1,Output!$A$3:$A$17,0),MATCH('Defensive Summary'!$B31,Output!$B$2:$P$2,0))</f>
        <v>1</v>
      </c>
      <c r="R31" s="24"/>
      <c r="S31" s="25">
        <f t="shared" si="0"/>
        <v>3</v>
      </c>
      <c r="T31" s="22" t="s">
        <v>2</v>
      </c>
      <c r="U31" s="22" t="s">
        <v>96</v>
      </c>
      <c r="V31" s="24" cm="1">
        <f t="array" ref="V31">_xlfn.IFS(C31=1,0,C31=2,-1,C31=4,-2,C31=0.5,1,C31=0.25,2,C31=0,4)</f>
        <v>-1</v>
      </c>
      <c r="W31" s="24" cm="1">
        <f t="array" ref="W31">_xlfn.IFS(D31=1,0,D31=2,-1,D31=4,-2,D31=0.5,1,D31=0.25,2,D31=0,4)</f>
        <v>1</v>
      </c>
      <c r="X31" s="24" cm="1">
        <f t="array" ref="X31">_xlfn.IFS(E31=1,0,E31=2,-1,E31=4,-2,E31=0.5,1,E31=0.25,2,E31=0,4)</f>
        <v>1</v>
      </c>
      <c r="Y31" s="24" cm="1">
        <f t="array" ref="Y31">_xlfn.IFS(F31=1,0,F31=2,-1,F31=4,-2,F31=0.5,1,F31=0.25,2,F31=0,4)</f>
        <v>0</v>
      </c>
      <c r="Z31" s="24" cm="1">
        <f t="array" ref="Z31">_xlfn.IFS(G31=1,0,G31=2,-1,G31=4,-2,G31=0.5,1,G31=0.25,2,G31=0,4)</f>
        <v>0</v>
      </c>
      <c r="AA31" s="24" cm="1">
        <f t="array" ref="AA31">_xlfn.IFS(H31=1,0,H31=2,-1,H31=4,-2,H31=0.5,1,H31=0.25,2,H31=0,4)</f>
        <v>1</v>
      </c>
      <c r="AB31" s="24" cm="1">
        <f t="array" ref="AB31">_xlfn.IFS(I31=1,0,I31=2,-1,I31=4,-2,I31=0.5,1,I31=0.25,2,I31=0,4)</f>
        <v>0</v>
      </c>
      <c r="AC31" s="24" cm="1">
        <f t="array" ref="AC31">_xlfn.IFS(J31=1,0,J31=2,-1,J31=4,-2,J31=0.5,1,J31=0.25,2,J31=0,4)</f>
        <v>-1</v>
      </c>
      <c r="AD31" s="24" cm="1">
        <f t="array" ref="AD31">_xlfn.IFS(K31=1,0,K31=2,-1,K31=4,-2,K31=0.5,1,K31=0.25,2,K31=0,4)</f>
        <v>2</v>
      </c>
      <c r="AE31" s="24" cm="1">
        <f t="array" ref="AE31">_xlfn.IFS(L31=1,0,L31=2,-1,L31=4,-2,L31=0.5,1,L31=0.25,2,L31=0,4)</f>
        <v>-1</v>
      </c>
      <c r="AF31" s="24" cm="1">
        <f t="array" ref="AF31">_xlfn.IFS(M31=1,0,M31=2,-1,M31=4,-2,M31=0.5,1,M31=0.25,2,M31=0,4)</f>
        <v>1</v>
      </c>
      <c r="AG31" s="24" cm="1">
        <f t="array" ref="AG31">_xlfn.IFS(N31=1,0,N31=2,-1,N31=4,-2,N31=0.5,1,N31=0.25,2,N31=0,4)</f>
        <v>0</v>
      </c>
      <c r="AH31" s="24" cm="1">
        <f t="array" ref="AH31">_xlfn.IFS(O31=1,0,O31=2,-1,O31=4,-2,O31=0.5,1,O31=0.25,2,O31=0,4)</f>
        <v>0</v>
      </c>
      <c r="AI31" s="24" cm="1">
        <f t="array" ref="AI31">_xlfn.IFS(P31=1,0,P31=2,-1,P31=4,-2,P31=0.5,1,P31=0.25,2,P31=0,4)</f>
        <v>0</v>
      </c>
      <c r="AJ31" s="24" cm="1">
        <f t="array" ref="AJ31">_xlfn.IFS(Q31=1,0,Q31=2,-1,Q31=4,-2,Q31=0.5,1,Q31=0.25,2,Q31=0,4)</f>
        <v>0</v>
      </c>
    </row>
    <row r="32" spans="1:36" x14ac:dyDescent="0.2">
      <c r="A32" s="22" t="s">
        <v>2</v>
      </c>
      <c r="B32" s="22" t="s">
        <v>6</v>
      </c>
      <c r="C32" s="24">
        <f>INDEX(Output!$B$3:$P$17,MATCH('Defensive Summary'!C$1,Output!$A$3:$A$17,0),MATCH('Defensive Summary'!$A32,Output!$B$2:$P$2,0))*INDEX(Output!$B$3:$P$17,MATCH('Defensive Summary'!C$1,Output!$A$3:$A$17,0),MATCH('Defensive Summary'!$B32,Output!$B$2:$P$2,0))</f>
        <v>4</v>
      </c>
      <c r="D32" s="24">
        <f>INDEX(Output!$B$3:$P$17,MATCH('Defensive Summary'!D$1,Output!$A$3:$A$17,0),MATCH('Defensive Summary'!$A32,Output!$B$2:$P$2,0))*INDEX(Output!$B$3:$P$17,MATCH('Defensive Summary'!D$1,Output!$A$3:$A$17,0),MATCH('Defensive Summary'!$B32,Output!$B$2:$P$2,0))</f>
        <v>0.25</v>
      </c>
      <c r="E32" s="24">
        <f>INDEX(Output!$B$3:$P$17,MATCH('Defensive Summary'!E$1,Output!$A$3:$A$17,0),MATCH('Defensive Summary'!$A32,Output!$B$2:$P$2,0))*INDEX(Output!$B$3:$P$17,MATCH('Defensive Summary'!E$1,Output!$A$3:$A$17,0),MATCH('Defensive Summary'!$B32,Output!$B$2:$P$2,0))</f>
        <v>0.25</v>
      </c>
      <c r="F32" s="24">
        <f>INDEX(Output!$B$3:$P$17,MATCH('Defensive Summary'!F$1,Output!$A$3:$A$17,0),MATCH('Defensive Summary'!$A32,Output!$B$2:$P$2,0))*INDEX(Output!$B$3:$P$17,MATCH('Defensive Summary'!F$1,Output!$A$3:$A$17,0),MATCH('Defensive Summary'!$B32,Output!$B$2:$P$2,0))</f>
        <v>0.25</v>
      </c>
      <c r="G32" s="24">
        <f>INDEX(Output!$B$3:$P$17,MATCH('Defensive Summary'!G$1,Output!$A$3:$A$17,0),MATCH('Defensive Summary'!$A32,Output!$B$2:$P$2,0))*INDEX(Output!$B$3:$P$17,MATCH('Defensive Summary'!G$1,Output!$A$3:$A$17,0),MATCH('Defensive Summary'!$B32,Output!$B$2:$P$2,0))</f>
        <v>2</v>
      </c>
      <c r="H32" s="24">
        <f>INDEX(Output!$B$3:$P$17,MATCH('Defensive Summary'!H$1,Output!$A$3:$A$17,0),MATCH('Defensive Summary'!$A32,Output!$B$2:$P$2,0))*INDEX(Output!$B$3:$P$17,MATCH('Defensive Summary'!H$1,Output!$A$3:$A$17,0),MATCH('Defensive Summary'!$B32,Output!$B$2:$P$2,0))</f>
        <v>0.5</v>
      </c>
      <c r="I32" s="24">
        <f>INDEX(Output!$B$3:$P$17,MATCH('Defensive Summary'!I$1,Output!$A$3:$A$17,0),MATCH('Defensive Summary'!$A32,Output!$B$2:$P$2,0))*INDEX(Output!$B$3:$P$17,MATCH('Defensive Summary'!I$1,Output!$A$3:$A$17,0),MATCH('Defensive Summary'!$B32,Output!$B$2:$P$2,0))</f>
        <v>1</v>
      </c>
      <c r="J32" s="24">
        <f>INDEX(Output!$B$3:$P$17,MATCH('Defensive Summary'!J$1,Output!$A$3:$A$17,0),MATCH('Defensive Summary'!$A32,Output!$B$2:$P$2,0))*INDEX(Output!$B$3:$P$17,MATCH('Defensive Summary'!J$1,Output!$A$3:$A$17,0),MATCH('Defensive Summary'!$B32,Output!$B$2:$P$2,0))</f>
        <v>1</v>
      </c>
      <c r="K32" s="24">
        <f>INDEX(Output!$B$3:$P$17,MATCH('Defensive Summary'!K$1,Output!$A$3:$A$17,0),MATCH('Defensive Summary'!$A32,Output!$B$2:$P$2,0))*INDEX(Output!$B$3:$P$17,MATCH('Defensive Summary'!K$1,Output!$A$3:$A$17,0),MATCH('Defensive Summary'!$B32,Output!$B$2:$P$2,0))</f>
        <v>0.5</v>
      </c>
      <c r="L32" s="24">
        <f>INDEX(Output!$B$3:$P$17,MATCH('Defensive Summary'!L$1,Output!$A$3:$A$17,0),MATCH('Defensive Summary'!$A32,Output!$B$2:$P$2,0))*INDEX(Output!$B$3:$P$17,MATCH('Defensive Summary'!L$1,Output!$A$3:$A$17,0),MATCH('Defensive Summary'!$B32,Output!$B$2:$P$2,0))</f>
        <v>1</v>
      </c>
      <c r="M32" s="24">
        <f>INDEX(Output!$B$3:$P$17,MATCH('Defensive Summary'!M$1,Output!$A$3:$A$17,0),MATCH('Defensive Summary'!$A32,Output!$B$2:$P$2,0))*INDEX(Output!$B$3:$P$17,MATCH('Defensive Summary'!M$1,Output!$A$3:$A$17,0),MATCH('Defensive Summary'!$B32,Output!$B$2:$P$2,0))</f>
        <v>0.5</v>
      </c>
      <c r="N32" s="24">
        <f>INDEX(Output!$B$3:$P$17,MATCH('Defensive Summary'!N$1,Output!$A$3:$A$17,0),MATCH('Defensive Summary'!$A32,Output!$B$2:$P$2,0))*INDEX(Output!$B$3:$P$17,MATCH('Defensive Summary'!N$1,Output!$A$3:$A$17,0),MATCH('Defensive Summary'!$B32,Output!$B$2:$P$2,0))</f>
        <v>1</v>
      </c>
      <c r="O32" s="24">
        <f>INDEX(Output!$B$3:$P$17,MATCH('Defensive Summary'!O$1,Output!$A$3:$A$17,0),MATCH('Defensive Summary'!$A32,Output!$B$2:$P$2,0))*INDEX(Output!$B$3:$P$17,MATCH('Defensive Summary'!O$1,Output!$A$3:$A$17,0),MATCH('Defensive Summary'!$B32,Output!$B$2:$P$2,0))</f>
        <v>1</v>
      </c>
      <c r="P32" s="24">
        <f>INDEX(Output!$B$3:$P$17,MATCH('Defensive Summary'!P$1,Output!$A$3:$A$17,0),MATCH('Defensive Summary'!$A32,Output!$B$2:$P$2,0))*INDEX(Output!$B$3:$P$17,MATCH('Defensive Summary'!P$1,Output!$A$3:$A$17,0),MATCH('Defensive Summary'!$B32,Output!$B$2:$P$2,0))</f>
        <v>0.5</v>
      </c>
      <c r="Q32" s="24">
        <f>INDEX(Output!$B$3:$P$17,MATCH('Defensive Summary'!Q$1,Output!$A$3:$A$17,0),MATCH('Defensive Summary'!$A32,Output!$B$2:$P$2,0))*INDEX(Output!$B$3:$P$17,MATCH('Defensive Summary'!Q$1,Output!$A$3:$A$17,0),MATCH('Defensive Summary'!$B32,Output!$B$2:$P$2,0))</f>
        <v>1</v>
      </c>
      <c r="R32" s="24"/>
      <c r="S32" s="25">
        <f t="shared" si="0"/>
        <v>7</v>
      </c>
      <c r="T32" s="22" t="s">
        <v>2</v>
      </c>
      <c r="U32" s="22" t="s">
        <v>6</v>
      </c>
      <c r="V32" s="24" cm="1">
        <f t="array" ref="V32">_xlfn.IFS(C32=1,0,C32=2,-1,C32=4,-2,C32=0.5,1,C32=0.25,2,C32=0,4)</f>
        <v>-2</v>
      </c>
      <c r="W32" s="24" cm="1">
        <f t="array" ref="W32">_xlfn.IFS(D32=1,0,D32=2,-1,D32=4,-2,D32=0.5,1,D32=0.25,2,D32=0,4)</f>
        <v>2</v>
      </c>
      <c r="X32" s="24" cm="1">
        <f t="array" ref="X32">_xlfn.IFS(E32=1,0,E32=2,-1,E32=4,-2,E32=0.5,1,E32=0.25,2,E32=0,4)</f>
        <v>2</v>
      </c>
      <c r="Y32" s="24" cm="1">
        <f t="array" ref="Y32">_xlfn.IFS(F32=1,0,F32=2,-1,F32=4,-2,F32=0.5,1,F32=0.25,2,F32=0,4)</f>
        <v>2</v>
      </c>
      <c r="Z32" s="24" cm="1">
        <f t="array" ref="Z32">_xlfn.IFS(G32=1,0,G32=2,-1,G32=4,-2,G32=0.5,1,G32=0.25,2,G32=0,4)</f>
        <v>-1</v>
      </c>
      <c r="AA32" s="24" cm="1">
        <f t="array" ref="AA32">_xlfn.IFS(H32=1,0,H32=2,-1,H32=4,-2,H32=0.5,1,H32=0.25,2,H32=0,4)</f>
        <v>1</v>
      </c>
      <c r="AB32" s="24" cm="1">
        <f t="array" ref="AB32">_xlfn.IFS(I32=1,0,I32=2,-1,I32=4,-2,I32=0.5,1,I32=0.25,2,I32=0,4)</f>
        <v>0</v>
      </c>
      <c r="AC32" s="24" cm="1">
        <f t="array" ref="AC32">_xlfn.IFS(J32=1,0,J32=2,-1,J32=4,-2,J32=0.5,1,J32=0.25,2,J32=0,4)</f>
        <v>0</v>
      </c>
      <c r="AD32" s="24" cm="1">
        <f t="array" ref="AD32">_xlfn.IFS(K32=1,0,K32=2,-1,K32=4,-2,K32=0.5,1,K32=0.25,2,K32=0,4)</f>
        <v>1</v>
      </c>
      <c r="AE32" s="24" cm="1">
        <f t="array" ref="AE32">_xlfn.IFS(L32=1,0,L32=2,-1,L32=4,-2,L32=0.5,1,L32=0.25,2,L32=0,4)</f>
        <v>0</v>
      </c>
      <c r="AF32" s="24" cm="1">
        <f t="array" ref="AF32">_xlfn.IFS(M32=1,0,M32=2,-1,M32=4,-2,M32=0.5,1,M32=0.25,2,M32=0,4)</f>
        <v>1</v>
      </c>
      <c r="AG32" s="24" cm="1">
        <f t="array" ref="AG32">_xlfn.IFS(N32=1,0,N32=2,-1,N32=4,-2,N32=0.5,1,N32=0.25,2,N32=0,4)</f>
        <v>0</v>
      </c>
      <c r="AH32" s="24" cm="1">
        <f t="array" ref="AH32">_xlfn.IFS(O32=1,0,O32=2,-1,O32=4,-2,O32=0.5,1,O32=0.25,2,O32=0,4)</f>
        <v>0</v>
      </c>
      <c r="AI32" s="24" cm="1">
        <f t="array" ref="AI32">_xlfn.IFS(P32=1,0,P32=2,-1,P32=4,-2,P32=0.5,1,P32=0.25,2,P32=0,4)</f>
        <v>1</v>
      </c>
      <c r="AJ32" s="24" cm="1">
        <f t="array" ref="AJ32">_xlfn.IFS(Q32=1,0,Q32=2,-1,Q32=4,-2,Q32=0.5,1,Q32=0.25,2,Q32=0,4)</f>
        <v>0</v>
      </c>
    </row>
    <row r="33" spans="1:36" x14ac:dyDescent="0.2">
      <c r="A33" s="22" t="s">
        <v>2</v>
      </c>
      <c r="B33" s="22" t="s">
        <v>7</v>
      </c>
      <c r="C33" s="24">
        <f>INDEX(Output!$B$3:$P$17,MATCH('Defensive Summary'!C$1,Output!$A$3:$A$17,0),MATCH('Defensive Summary'!$A33,Output!$B$2:$P$2,0))*INDEX(Output!$B$3:$P$17,MATCH('Defensive Summary'!C$1,Output!$A$3:$A$17,0),MATCH('Defensive Summary'!$B33,Output!$B$2:$P$2,0))</f>
        <v>2</v>
      </c>
      <c r="D33" s="24">
        <f>INDEX(Output!$B$3:$P$17,MATCH('Defensive Summary'!D$1,Output!$A$3:$A$17,0),MATCH('Defensive Summary'!$A33,Output!$B$2:$P$2,0))*INDEX(Output!$B$3:$P$17,MATCH('Defensive Summary'!D$1,Output!$A$3:$A$17,0),MATCH('Defensive Summary'!$B33,Output!$B$2:$P$2,0))</f>
        <v>0.5</v>
      </c>
      <c r="E33" s="24">
        <f>INDEX(Output!$B$3:$P$17,MATCH('Defensive Summary'!E$1,Output!$A$3:$A$17,0),MATCH('Defensive Summary'!$A33,Output!$B$2:$P$2,0))*INDEX(Output!$B$3:$P$17,MATCH('Defensive Summary'!E$1,Output!$A$3:$A$17,0),MATCH('Defensive Summary'!$B33,Output!$B$2:$P$2,0))</f>
        <v>0.5</v>
      </c>
      <c r="F33" s="24">
        <f>INDEX(Output!$B$3:$P$17,MATCH('Defensive Summary'!F$1,Output!$A$3:$A$17,0),MATCH('Defensive Summary'!$A33,Output!$B$2:$P$2,0))*INDEX(Output!$B$3:$P$17,MATCH('Defensive Summary'!F$1,Output!$A$3:$A$17,0),MATCH('Defensive Summary'!$B33,Output!$B$2:$P$2,0))</f>
        <v>0.25</v>
      </c>
      <c r="G33" s="24">
        <f>INDEX(Output!$B$3:$P$17,MATCH('Defensive Summary'!G$1,Output!$A$3:$A$17,0),MATCH('Defensive Summary'!$A33,Output!$B$2:$P$2,0))*INDEX(Output!$B$3:$P$17,MATCH('Defensive Summary'!G$1,Output!$A$3:$A$17,0),MATCH('Defensive Summary'!$B33,Output!$B$2:$P$2,0))</f>
        <v>1</v>
      </c>
      <c r="H33" s="24">
        <f>INDEX(Output!$B$3:$P$17,MATCH('Defensive Summary'!H$1,Output!$A$3:$A$17,0),MATCH('Defensive Summary'!$A33,Output!$B$2:$P$2,0))*INDEX(Output!$B$3:$P$17,MATCH('Defensive Summary'!H$1,Output!$A$3:$A$17,0),MATCH('Defensive Summary'!$B33,Output!$B$2:$P$2,0))</f>
        <v>0.5</v>
      </c>
      <c r="I33" s="24">
        <f>INDEX(Output!$B$3:$P$17,MATCH('Defensive Summary'!I$1,Output!$A$3:$A$17,0),MATCH('Defensive Summary'!$A33,Output!$B$2:$P$2,0))*INDEX(Output!$B$3:$P$17,MATCH('Defensive Summary'!I$1,Output!$A$3:$A$17,0),MATCH('Defensive Summary'!$B33,Output!$B$2:$P$2,0))</f>
        <v>2</v>
      </c>
      <c r="J33" s="24">
        <f>INDEX(Output!$B$3:$P$17,MATCH('Defensive Summary'!J$1,Output!$A$3:$A$17,0),MATCH('Defensive Summary'!$A33,Output!$B$2:$P$2,0))*INDEX(Output!$B$3:$P$17,MATCH('Defensive Summary'!J$1,Output!$A$3:$A$17,0),MATCH('Defensive Summary'!$B33,Output!$B$2:$P$2,0))</f>
        <v>1</v>
      </c>
      <c r="K33" s="24">
        <f>INDEX(Output!$B$3:$P$17,MATCH('Defensive Summary'!K$1,Output!$A$3:$A$17,0),MATCH('Defensive Summary'!$A33,Output!$B$2:$P$2,0))*INDEX(Output!$B$3:$P$17,MATCH('Defensive Summary'!K$1,Output!$A$3:$A$17,0),MATCH('Defensive Summary'!$B33,Output!$B$2:$P$2,0))</f>
        <v>1</v>
      </c>
      <c r="L33" s="24">
        <f>INDEX(Output!$B$3:$P$17,MATCH('Defensive Summary'!L$1,Output!$A$3:$A$17,0),MATCH('Defensive Summary'!$A33,Output!$B$2:$P$2,0))*INDEX(Output!$B$3:$P$17,MATCH('Defensive Summary'!L$1,Output!$A$3:$A$17,0),MATCH('Defensive Summary'!$B33,Output!$B$2:$P$2,0))</f>
        <v>0.5</v>
      </c>
      <c r="M33" s="24">
        <f>INDEX(Output!$B$3:$P$17,MATCH('Defensive Summary'!M$1,Output!$A$3:$A$17,0),MATCH('Defensive Summary'!$A33,Output!$B$2:$P$2,0))*INDEX(Output!$B$3:$P$17,MATCH('Defensive Summary'!M$1,Output!$A$3:$A$17,0),MATCH('Defensive Summary'!$B33,Output!$B$2:$P$2,0))</f>
        <v>0</v>
      </c>
      <c r="N33" s="24">
        <f>INDEX(Output!$B$3:$P$17,MATCH('Defensive Summary'!N$1,Output!$A$3:$A$17,0),MATCH('Defensive Summary'!$A33,Output!$B$2:$P$2,0))*INDEX(Output!$B$3:$P$17,MATCH('Defensive Summary'!N$1,Output!$A$3:$A$17,0),MATCH('Defensive Summary'!$B33,Output!$B$2:$P$2,0))</f>
        <v>2</v>
      </c>
      <c r="O33" s="24">
        <f>INDEX(Output!$B$3:$P$17,MATCH('Defensive Summary'!O$1,Output!$A$3:$A$17,0),MATCH('Defensive Summary'!$A33,Output!$B$2:$P$2,0))*INDEX(Output!$B$3:$P$17,MATCH('Defensive Summary'!O$1,Output!$A$3:$A$17,0),MATCH('Defensive Summary'!$B33,Output!$B$2:$P$2,0))</f>
        <v>2</v>
      </c>
      <c r="P33" s="24">
        <f>INDEX(Output!$B$3:$P$17,MATCH('Defensive Summary'!P$1,Output!$A$3:$A$17,0),MATCH('Defensive Summary'!$A33,Output!$B$2:$P$2,0))*INDEX(Output!$B$3:$P$17,MATCH('Defensive Summary'!P$1,Output!$A$3:$A$17,0),MATCH('Defensive Summary'!$B33,Output!$B$2:$P$2,0))</f>
        <v>2</v>
      </c>
      <c r="Q33" s="24">
        <f>INDEX(Output!$B$3:$P$17,MATCH('Defensive Summary'!Q$1,Output!$A$3:$A$17,0),MATCH('Defensive Summary'!$A33,Output!$B$2:$P$2,0))*INDEX(Output!$B$3:$P$17,MATCH('Defensive Summary'!Q$1,Output!$A$3:$A$17,0),MATCH('Defensive Summary'!$B33,Output!$B$2:$P$2,0))</f>
        <v>1</v>
      </c>
      <c r="R33" s="24"/>
      <c r="S33" s="25">
        <f t="shared" si="0"/>
        <v>5</v>
      </c>
      <c r="T33" s="22" t="s">
        <v>2</v>
      </c>
      <c r="U33" s="22" t="s">
        <v>7</v>
      </c>
      <c r="V33" s="24" cm="1">
        <f t="array" ref="V33">_xlfn.IFS(C33=1,0,C33=2,-1,C33=4,-2,C33=0.5,1,C33=0.25,2,C33=0,4)</f>
        <v>-1</v>
      </c>
      <c r="W33" s="24" cm="1">
        <f t="array" ref="W33">_xlfn.IFS(D33=1,0,D33=2,-1,D33=4,-2,D33=0.5,1,D33=0.25,2,D33=0,4)</f>
        <v>1</v>
      </c>
      <c r="X33" s="24" cm="1">
        <f t="array" ref="X33">_xlfn.IFS(E33=1,0,E33=2,-1,E33=4,-2,E33=0.5,1,E33=0.25,2,E33=0,4)</f>
        <v>1</v>
      </c>
      <c r="Y33" s="24" cm="1">
        <f t="array" ref="Y33">_xlfn.IFS(F33=1,0,F33=2,-1,F33=4,-2,F33=0.5,1,F33=0.25,2,F33=0,4)</f>
        <v>2</v>
      </c>
      <c r="Z33" s="24" cm="1">
        <f t="array" ref="Z33">_xlfn.IFS(G33=1,0,G33=2,-1,G33=4,-2,G33=0.5,1,G33=0.25,2,G33=0,4)</f>
        <v>0</v>
      </c>
      <c r="AA33" s="24" cm="1">
        <f t="array" ref="AA33">_xlfn.IFS(H33=1,0,H33=2,-1,H33=4,-2,H33=0.5,1,H33=0.25,2,H33=0,4)</f>
        <v>1</v>
      </c>
      <c r="AB33" s="24" cm="1">
        <f t="array" ref="AB33">_xlfn.IFS(I33=1,0,I33=2,-1,I33=4,-2,I33=0.5,1,I33=0.25,2,I33=0,4)</f>
        <v>-1</v>
      </c>
      <c r="AC33" s="24" cm="1">
        <f t="array" ref="AC33">_xlfn.IFS(J33=1,0,J33=2,-1,J33=4,-2,J33=0.5,1,J33=0.25,2,J33=0,4)</f>
        <v>0</v>
      </c>
      <c r="AD33" s="24" cm="1">
        <f t="array" ref="AD33">_xlfn.IFS(K33=1,0,K33=2,-1,K33=4,-2,K33=0.5,1,K33=0.25,2,K33=0,4)</f>
        <v>0</v>
      </c>
      <c r="AE33" s="24" cm="1">
        <f t="array" ref="AE33">_xlfn.IFS(L33=1,0,L33=2,-1,L33=4,-2,L33=0.5,1,L33=0.25,2,L33=0,4)</f>
        <v>1</v>
      </c>
      <c r="AF33" s="24" cm="1">
        <f t="array" ref="AF33">_xlfn.IFS(M33=1,0,M33=2,-1,M33=4,-2,M33=0.5,1,M33=0.25,2,M33=0,4)</f>
        <v>4</v>
      </c>
      <c r="AG33" s="24" cm="1">
        <f t="array" ref="AG33">_xlfn.IFS(N33=1,0,N33=2,-1,N33=4,-2,N33=0.5,1,N33=0.25,2,N33=0,4)</f>
        <v>-1</v>
      </c>
      <c r="AH33" s="24" cm="1">
        <f t="array" ref="AH33">_xlfn.IFS(O33=1,0,O33=2,-1,O33=4,-2,O33=0.5,1,O33=0.25,2,O33=0,4)</f>
        <v>-1</v>
      </c>
      <c r="AI33" s="24" cm="1">
        <f t="array" ref="AI33">_xlfn.IFS(P33=1,0,P33=2,-1,P33=4,-2,P33=0.5,1,P33=0.25,2,P33=0,4)</f>
        <v>-1</v>
      </c>
      <c r="AJ33" s="24" cm="1">
        <f t="array" ref="AJ33">_xlfn.IFS(Q33=1,0,Q33=2,-1,Q33=4,-2,Q33=0.5,1,Q33=0.25,2,Q33=0,4)</f>
        <v>0</v>
      </c>
    </row>
    <row r="34" spans="1:36" x14ac:dyDescent="0.2">
      <c r="A34" s="22" t="s">
        <v>2</v>
      </c>
      <c r="B34" s="22" t="s">
        <v>8</v>
      </c>
      <c r="C34" s="24">
        <f>INDEX(Output!$B$3:$P$17,MATCH('Defensive Summary'!C$1,Output!$A$3:$A$17,0),MATCH('Defensive Summary'!$A34,Output!$B$2:$P$2,0))*INDEX(Output!$B$3:$P$17,MATCH('Defensive Summary'!C$1,Output!$A$3:$A$17,0),MATCH('Defensive Summary'!$B34,Output!$B$2:$P$2,0))</f>
        <v>1</v>
      </c>
      <c r="D34" s="24">
        <f>INDEX(Output!$B$3:$P$17,MATCH('Defensive Summary'!D$1,Output!$A$3:$A$17,0),MATCH('Defensive Summary'!$A34,Output!$B$2:$P$2,0))*INDEX(Output!$B$3:$P$17,MATCH('Defensive Summary'!D$1,Output!$A$3:$A$17,0),MATCH('Defensive Summary'!$B34,Output!$B$2:$P$2,0))</f>
        <v>0.25</v>
      </c>
      <c r="E34" s="24">
        <f>INDEX(Output!$B$3:$P$17,MATCH('Defensive Summary'!E$1,Output!$A$3:$A$17,0),MATCH('Defensive Summary'!$A34,Output!$B$2:$P$2,0))*INDEX(Output!$B$3:$P$17,MATCH('Defensive Summary'!E$1,Output!$A$3:$A$17,0),MATCH('Defensive Summary'!$B34,Output!$B$2:$P$2,0))</f>
        <v>0.5</v>
      </c>
      <c r="F34" s="24">
        <f>INDEX(Output!$B$3:$P$17,MATCH('Defensive Summary'!F$1,Output!$A$3:$A$17,0),MATCH('Defensive Summary'!$A34,Output!$B$2:$P$2,0))*INDEX(Output!$B$3:$P$17,MATCH('Defensive Summary'!F$1,Output!$A$3:$A$17,0),MATCH('Defensive Summary'!$B34,Output!$B$2:$P$2,0))</f>
        <v>0.25</v>
      </c>
      <c r="G34" s="24">
        <f>INDEX(Output!$B$3:$P$17,MATCH('Defensive Summary'!G$1,Output!$A$3:$A$17,0),MATCH('Defensive Summary'!$A34,Output!$B$2:$P$2,0))*INDEX(Output!$B$3:$P$17,MATCH('Defensive Summary'!G$1,Output!$A$3:$A$17,0),MATCH('Defensive Summary'!$B34,Output!$B$2:$P$2,0))</f>
        <v>2</v>
      </c>
      <c r="H34" s="24">
        <f>INDEX(Output!$B$3:$P$17,MATCH('Defensive Summary'!H$1,Output!$A$3:$A$17,0),MATCH('Defensive Summary'!$A34,Output!$B$2:$P$2,0))*INDEX(Output!$B$3:$P$17,MATCH('Defensive Summary'!H$1,Output!$A$3:$A$17,0),MATCH('Defensive Summary'!$B34,Output!$B$2:$P$2,0))</f>
        <v>2</v>
      </c>
      <c r="I34" s="24">
        <f>INDEX(Output!$B$3:$P$17,MATCH('Defensive Summary'!I$1,Output!$A$3:$A$17,0),MATCH('Defensive Summary'!$A34,Output!$B$2:$P$2,0))*INDEX(Output!$B$3:$P$17,MATCH('Defensive Summary'!I$1,Output!$A$3:$A$17,0),MATCH('Defensive Summary'!$B34,Output!$B$2:$P$2,0))</f>
        <v>2</v>
      </c>
      <c r="J34" s="24">
        <f>INDEX(Output!$B$3:$P$17,MATCH('Defensive Summary'!J$1,Output!$A$3:$A$17,0),MATCH('Defensive Summary'!$A34,Output!$B$2:$P$2,0))*INDEX(Output!$B$3:$P$17,MATCH('Defensive Summary'!J$1,Output!$A$3:$A$17,0),MATCH('Defensive Summary'!$B34,Output!$B$2:$P$2,0))</f>
        <v>0</v>
      </c>
      <c r="K34" s="24">
        <f>INDEX(Output!$B$3:$P$17,MATCH('Defensive Summary'!K$1,Output!$A$3:$A$17,0),MATCH('Defensive Summary'!$A34,Output!$B$2:$P$2,0))*INDEX(Output!$B$3:$P$17,MATCH('Defensive Summary'!K$1,Output!$A$3:$A$17,0),MATCH('Defensive Summary'!$B34,Output!$B$2:$P$2,0))</f>
        <v>0.5</v>
      </c>
      <c r="L34" s="24">
        <f>INDEX(Output!$B$3:$P$17,MATCH('Defensive Summary'!L$1,Output!$A$3:$A$17,0),MATCH('Defensive Summary'!$A34,Output!$B$2:$P$2,0))*INDEX(Output!$B$3:$P$17,MATCH('Defensive Summary'!L$1,Output!$A$3:$A$17,0),MATCH('Defensive Summary'!$B34,Output!$B$2:$P$2,0))</f>
        <v>2</v>
      </c>
      <c r="M34" s="24">
        <f>INDEX(Output!$B$3:$P$17,MATCH('Defensive Summary'!M$1,Output!$A$3:$A$17,0),MATCH('Defensive Summary'!$A34,Output!$B$2:$P$2,0))*INDEX(Output!$B$3:$P$17,MATCH('Defensive Summary'!M$1,Output!$A$3:$A$17,0),MATCH('Defensive Summary'!$B34,Output!$B$2:$P$2,0))</f>
        <v>0.5</v>
      </c>
      <c r="N34" s="24">
        <f>INDEX(Output!$B$3:$P$17,MATCH('Defensive Summary'!N$1,Output!$A$3:$A$17,0),MATCH('Defensive Summary'!$A34,Output!$B$2:$P$2,0))*INDEX(Output!$B$3:$P$17,MATCH('Defensive Summary'!N$1,Output!$A$3:$A$17,0),MATCH('Defensive Summary'!$B34,Output!$B$2:$P$2,0))</f>
        <v>1</v>
      </c>
      <c r="O34" s="24">
        <f>INDEX(Output!$B$3:$P$17,MATCH('Defensive Summary'!O$1,Output!$A$3:$A$17,0),MATCH('Defensive Summary'!$A34,Output!$B$2:$P$2,0))*INDEX(Output!$B$3:$P$17,MATCH('Defensive Summary'!O$1,Output!$A$3:$A$17,0),MATCH('Defensive Summary'!$B34,Output!$B$2:$P$2,0))</f>
        <v>1</v>
      </c>
      <c r="P34" s="24">
        <f>INDEX(Output!$B$3:$P$17,MATCH('Defensive Summary'!P$1,Output!$A$3:$A$17,0),MATCH('Defensive Summary'!$A34,Output!$B$2:$P$2,0))*INDEX(Output!$B$3:$P$17,MATCH('Defensive Summary'!P$1,Output!$A$3:$A$17,0),MATCH('Defensive Summary'!$B34,Output!$B$2:$P$2,0))</f>
        <v>0.5</v>
      </c>
      <c r="Q34" s="24">
        <f>INDEX(Output!$B$3:$P$17,MATCH('Defensive Summary'!Q$1,Output!$A$3:$A$17,0),MATCH('Defensive Summary'!$A34,Output!$B$2:$P$2,0))*INDEX(Output!$B$3:$P$17,MATCH('Defensive Summary'!Q$1,Output!$A$3:$A$17,0),MATCH('Defensive Summary'!$B34,Output!$B$2:$P$2,0))</f>
        <v>1</v>
      </c>
      <c r="R34" s="24"/>
      <c r="S34" s="25">
        <f t="shared" si="0"/>
        <v>8</v>
      </c>
      <c r="T34" s="22" t="s">
        <v>2</v>
      </c>
      <c r="U34" s="22" t="s">
        <v>8</v>
      </c>
      <c r="V34" s="24" cm="1">
        <f t="array" ref="V34">_xlfn.IFS(C34=1,0,C34=2,-1,C34=4,-2,C34=0.5,1,C34=0.25,2,C34=0,4)</f>
        <v>0</v>
      </c>
      <c r="W34" s="24" cm="1">
        <f t="array" ref="W34">_xlfn.IFS(D34=1,0,D34=2,-1,D34=4,-2,D34=0.5,1,D34=0.25,2,D34=0,4)</f>
        <v>2</v>
      </c>
      <c r="X34" s="24" cm="1">
        <f t="array" ref="X34">_xlfn.IFS(E34=1,0,E34=2,-1,E34=4,-2,E34=0.5,1,E34=0.25,2,E34=0,4)</f>
        <v>1</v>
      </c>
      <c r="Y34" s="24" cm="1">
        <f t="array" ref="Y34">_xlfn.IFS(F34=1,0,F34=2,-1,F34=4,-2,F34=0.5,1,F34=0.25,2,F34=0,4)</f>
        <v>2</v>
      </c>
      <c r="Z34" s="24" cm="1">
        <f t="array" ref="Z34">_xlfn.IFS(G34=1,0,G34=2,-1,G34=4,-2,G34=0.5,1,G34=0.25,2,G34=0,4)</f>
        <v>-1</v>
      </c>
      <c r="AA34" s="24" cm="1">
        <f t="array" ref="AA34">_xlfn.IFS(H34=1,0,H34=2,-1,H34=4,-2,H34=0.5,1,H34=0.25,2,H34=0,4)</f>
        <v>-1</v>
      </c>
      <c r="AB34" s="24" cm="1">
        <f t="array" ref="AB34">_xlfn.IFS(I34=1,0,I34=2,-1,I34=4,-2,I34=0.5,1,I34=0.25,2,I34=0,4)</f>
        <v>-1</v>
      </c>
      <c r="AC34" s="24" cm="1">
        <f t="array" ref="AC34">_xlfn.IFS(J34=1,0,J34=2,-1,J34=4,-2,J34=0.5,1,J34=0.25,2,J34=0,4)</f>
        <v>4</v>
      </c>
      <c r="AD34" s="24" cm="1">
        <f t="array" ref="AD34">_xlfn.IFS(K34=1,0,K34=2,-1,K34=4,-2,K34=0.5,1,K34=0.25,2,K34=0,4)</f>
        <v>1</v>
      </c>
      <c r="AE34" s="24" cm="1">
        <f t="array" ref="AE34">_xlfn.IFS(L34=1,0,L34=2,-1,L34=4,-2,L34=0.5,1,L34=0.25,2,L34=0,4)</f>
        <v>-1</v>
      </c>
      <c r="AF34" s="24" cm="1">
        <f t="array" ref="AF34">_xlfn.IFS(M34=1,0,M34=2,-1,M34=4,-2,M34=0.5,1,M34=0.25,2,M34=0,4)</f>
        <v>1</v>
      </c>
      <c r="AG34" s="24" cm="1">
        <f t="array" ref="AG34">_xlfn.IFS(N34=1,0,N34=2,-1,N34=4,-2,N34=0.5,1,N34=0.25,2,N34=0,4)</f>
        <v>0</v>
      </c>
      <c r="AH34" s="24" cm="1">
        <f t="array" ref="AH34">_xlfn.IFS(O34=1,0,O34=2,-1,O34=4,-2,O34=0.5,1,O34=0.25,2,O34=0,4)</f>
        <v>0</v>
      </c>
      <c r="AI34" s="24" cm="1">
        <f t="array" ref="AI34">_xlfn.IFS(P34=1,0,P34=2,-1,P34=4,-2,P34=0.5,1,P34=0.25,2,P34=0,4)</f>
        <v>1</v>
      </c>
      <c r="AJ34" s="24" cm="1">
        <f t="array" ref="AJ34">_xlfn.IFS(Q34=1,0,Q34=2,-1,Q34=4,-2,Q34=0.5,1,Q34=0.25,2,Q34=0,4)</f>
        <v>0</v>
      </c>
    </row>
    <row r="35" spans="1:36" x14ac:dyDescent="0.2">
      <c r="A35" s="22" t="s">
        <v>2</v>
      </c>
      <c r="B35" s="22" t="s">
        <v>9</v>
      </c>
      <c r="C35" s="24">
        <f>INDEX(Output!$B$3:$P$17,MATCH('Defensive Summary'!C$1,Output!$A$3:$A$17,0),MATCH('Defensive Summary'!$A35,Output!$B$2:$P$2,0))*INDEX(Output!$B$3:$P$17,MATCH('Defensive Summary'!C$1,Output!$A$3:$A$17,0),MATCH('Defensive Summary'!$B35,Output!$B$2:$P$2,0))</f>
        <v>2</v>
      </c>
      <c r="D35" s="24">
        <f>INDEX(Output!$B$3:$P$17,MATCH('Defensive Summary'!D$1,Output!$A$3:$A$17,0),MATCH('Defensive Summary'!$A35,Output!$B$2:$P$2,0))*INDEX(Output!$B$3:$P$17,MATCH('Defensive Summary'!D$1,Output!$A$3:$A$17,0),MATCH('Defensive Summary'!$B35,Output!$B$2:$P$2,0))</f>
        <v>0.5</v>
      </c>
      <c r="E35" s="24">
        <f>INDEX(Output!$B$3:$P$17,MATCH('Defensive Summary'!E$1,Output!$A$3:$A$17,0),MATCH('Defensive Summary'!$A35,Output!$B$2:$P$2,0))*INDEX(Output!$B$3:$P$17,MATCH('Defensive Summary'!E$1,Output!$A$3:$A$17,0),MATCH('Defensive Summary'!$B35,Output!$B$2:$P$2,0))</f>
        <v>0.5</v>
      </c>
      <c r="F35" s="24">
        <f>INDEX(Output!$B$3:$P$17,MATCH('Defensive Summary'!F$1,Output!$A$3:$A$17,0),MATCH('Defensive Summary'!$A35,Output!$B$2:$P$2,0))*INDEX(Output!$B$3:$P$17,MATCH('Defensive Summary'!F$1,Output!$A$3:$A$17,0),MATCH('Defensive Summary'!$B35,Output!$B$2:$P$2,0))</f>
        <v>0.5</v>
      </c>
      <c r="G35" s="24">
        <f>INDEX(Output!$B$3:$P$17,MATCH('Defensive Summary'!G$1,Output!$A$3:$A$17,0),MATCH('Defensive Summary'!$A35,Output!$B$2:$P$2,0))*INDEX(Output!$B$3:$P$17,MATCH('Defensive Summary'!G$1,Output!$A$3:$A$17,0),MATCH('Defensive Summary'!$B35,Output!$B$2:$P$2,0))</f>
        <v>1</v>
      </c>
      <c r="H35" s="24">
        <f>INDEX(Output!$B$3:$P$17,MATCH('Defensive Summary'!H$1,Output!$A$3:$A$17,0),MATCH('Defensive Summary'!$A35,Output!$B$2:$P$2,0))*INDEX(Output!$B$3:$P$17,MATCH('Defensive Summary'!H$1,Output!$A$3:$A$17,0),MATCH('Defensive Summary'!$B35,Output!$B$2:$P$2,0))</f>
        <v>1</v>
      </c>
      <c r="I35" s="24">
        <f>INDEX(Output!$B$3:$P$17,MATCH('Defensive Summary'!I$1,Output!$A$3:$A$17,0),MATCH('Defensive Summary'!$A35,Output!$B$2:$P$2,0))*INDEX(Output!$B$3:$P$17,MATCH('Defensive Summary'!I$1,Output!$A$3:$A$17,0),MATCH('Defensive Summary'!$B35,Output!$B$2:$P$2,0))</f>
        <v>2</v>
      </c>
      <c r="J35" s="24">
        <f>INDEX(Output!$B$3:$P$17,MATCH('Defensive Summary'!J$1,Output!$A$3:$A$17,0),MATCH('Defensive Summary'!$A35,Output!$B$2:$P$2,0))*INDEX(Output!$B$3:$P$17,MATCH('Defensive Summary'!J$1,Output!$A$3:$A$17,0),MATCH('Defensive Summary'!$B35,Output!$B$2:$P$2,0))</f>
        <v>0.5</v>
      </c>
      <c r="K35" s="24">
        <f>INDEX(Output!$B$3:$P$17,MATCH('Defensive Summary'!K$1,Output!$A$3:$A$17,0),MATCH('Defensive Summary'!$A35,Output!$B$2:$P$2,0))*INDEX(Output!$B$3:$P$17,MATCH('Defensive Summary'!K$1,Output!$A$3:$A$17,0),MATCH('Defensive Summary'!$B35,Output!$B$2:$P$2,0))</f>
        <v>0</v>
      </c>
      <c r="L35" s="24">
        <f>INDEX(Output!$B$3:$P$17,MATCH('Defensive Summary'!L$1,Output!$A$3:$A$17,0),MATCH('Defensive Summary'!$A35,Output!$B$2:$P$2,0))*INDEX(Output!$B$3:$P$17,MATCH('Defensive Summary'!L$1,Output!$A$3:$A$17,0),MATCH('Defensive Summary'!$B35,Output!$B$2:$P$2,0))</f>
        <v>1</v>
      </c>
      <c r="M35" s="24">
        <f>INDEX(Output!$B$3:$P$17,MATCH('Defensive Summary'!M$1,Output!$A$3:$A$17,0),MATCH('Defensive Summary'!$A35,Output!$B$2:$P$2,0))*INDEX(Output!$B$3:$P$17,MATCH('Defensive Summary'!M$1,Output!$A$3:$A$17,0),MATCH('Defensive Summary'!$B35,Output!$B$2:$P$2,0))</f>
        <v>2</v>
      </c>
      <c r="N35" s="24">
        <f>INDEX(Output!$B$3:$P$17,MATCH('Defensive Summary'!N$1,Output!$A$3:$A$17,0),MATCH('Defensive Summary'!$A35,Output!$B$2:$P$2,0))*INDEX(Output!$B$3:$P$17,MATCH('Defensive Summary'!N$1,Output!$A$3:$A$17,0),MATCH('Defensive Summary'!$B35,Output!$B$2:$P$2,0))</f>
        <v>1</v>
      </c>
      <c r="O35" s="24">
        <f>INDEX(Output!$B$3:$P$17,MATCH('Defensive Summary'!O$1,Output!$A$3:$A$17,0),MATCH('Defensive Summary'!$A35,Output!$B$2:$P$2,0))*INDEX(Output!$B$3:$P$17,MATCH('Defensive Summary'!O$1,Output!$A$3:$A$17,0),MATCH('Defensive Summary'!$B35,Output!$B$2:$P$2,0))</f>
        <v>0.5</v>
      </c>
      <c r="P35" s="24">
        <f>INDEX(Output!$B$3:$P$17,MATCH('Defensive Summary'!P$1,Output!$A$3:$A$17,0),MATCH('Defensive Summary'!$A35,Output!$B$2:$P$2,0))*INDEX(Output!$B$3:$P$17,MATCH('Defensive Summary'!P$1,Output!$A$3:$A$17,0),MATCH('Defensive Summary'!$B35,Output!$B$2:$P$2,0))</f>
        <v>2</v>
      </c>
      <c r="Q35" s="24">
        <f>INDEX(Output!$B$3:$P$17,MATCH('Defensive Summary'!Q$1,Output!$A$3:$A$17,0),MATCH('Defensive Summary'!$A35,Output!$B$2:$P$2,0))*INDEX(Output!$B$3:$P$17,MATCH('Defensive Summary'!Q$1,Output!$A$3:$A$17,0),MATCH('Defensive Summary'!$B35,Output!$B$2:$P$2,0))</f>
        <v>1</v>
      </c>
      <c r="R35" s="24"/>
      <c r="S35" s="25">
        <f t="shared" si="0"/>
        <v>5</v>
      </c>
      <c r="T35" s="22" t="s">
        <v>2</v>
      </c>
      <c r="U35" s="22" t="s">
        <v>9</v>
      </c>
      <c r="V35" s="24" cm="1">
        <f t="array" ref="V35">_xlfn.IFS(C35=1,0,C35=2,-1,C35=4,-2,C35=0.5,1,C35=0.25,2,C35=0,4)</f>
        <v>-1</v>
      </c>
      <c r="W35" s="24" cm="1">
        <f t="array" ref="W35">_xlfn.IFS(D35=1,0,D35=2,-1,D35=4,-2,D35=0.5,1,D35=0.25,2,D35=0,4)</f>
        <v>1</v>
      </c>
      <c r="X35" s="24" cm="1">
        <f t="array" ref="X35">_xlfn.IFS(E35=1,0,E35=2,-1,E35=4,-2,E35=0.5,1,E35=0.25,2,E35=0,4)</f>
        <v>1</v>
      </c>
      <c r="Y35" s="24" cm="1">
        <f t="array" ref="Y35">_xlfn.IFS(F35=1,0,F35=2,-1,F35=4,-2,F35=0.5,1,F35=0.25,2,F35=0,4)</f>
        <v>1</v>
      </c>
      <c r="Z35" s="24" cm="1">
        <f t="array" ref="Z35">_xlfn.IFS(G35=1,0,G35=2,-1,G35=4,-2,G35=0.5,1,G35=0.25,2,G35=0,4)</f>
        <v>0</v>
      </c>
      <c r="AA35" s="24" cm="1">
        <f t="array" ref="AA35">_xlfn.IFS(H35=1,0,H35=2,-1,H35=4,-2,H35=0.5,1,H35=0.25,2,H35=0,4)</f>
        <v>0</v>
      </c>
      <c r="AB35" s="24" cm="1">
        <f t="array" ref="AB35">_xlfn.IFS(I35=1,0,I35=2,-1,I35=4,-2,I35=0.5,1,I35=0.25,2,I35=0,4)</f>
        <v>-1</v>
      </c>
      <c r="AC35" s="24" cm="1">
        <f t="array" ref="AC35">_xlfn.IFS(J35=1,0,J35=2,-1,J35=4,-2,J35=0.5,1,J35=0.25,2,J35=0,4)</f>
        <v>1</v>
      </c>
      <c r="AD35" s="24" cm="1">
        <f t="array" ref="AD35">_xlfn.IFS(K35=1,0,K35=2,-1,K35=4,-2,K35=0.5,1,K35=0.25,2,K35=0,4)</f>
        <v>4</v>
      </c>
      <c r="AE35" s="24" cm="1">
        <f t="array" ref="AE35">_xlfn.IFS(L35=1,0,L35=2,-1,L35=4,-2,L35=0.5,1,L35=0.25,2,L35=0,4)</f>
        <v>0</v>
      </c>
      <c r="AF35" s="24" cm="1">
        <f t="array" ref="AF35">_xlfn.IFS(M35=1,0,M35=2,-1,M35=4,-2,M35=0.5,1,M35=0.25,2,M35=0,4)</f>
        <v>-1</v>
      </c>
      <c r="AG35" s="24" cm="1">
        <f t="array" ref="AG35">_xlfn.IFS(N35=1,0,N35=2,-1,N35=4,-2,N35=0.5,1,N35=0.25,2,N35=0,4)</f>
        <v>0</v>
      </c>
      <c r="AH35" s="24" cm="1">
        <f t="array" ref="AH35">_xlfn.IFS(O35=1,0,O35=2,-1,O35=4,-2,O35=0.5,1,O35=0.25,2,O35=0,4)</f>
        <v>1</v>
      </c>
      <c r="AI35" s="24" cm="1">
        <f t="array" ref="AI35">_xlfn.IFS(P35=1,0,P35=2,-1,P35=4,-2,P35=0.5,1,P35=0.25,2,P35=0,4)</f>
        <v>-1</v>
      </c>
      <c r="AJ35" s="24" cm="1">
        <f t="array" ref="AJ35">_xlfn.IFS(Q35=1,0,Q35=2,-1,Q35=4,-2,Q35=0.5,1,Q35=0.25,2,Q35=0,4)</f>
        <v>0</v>
      </c>
    </row>
    <row r="36" spans="1:36" x14ac:dyDescent="0.2">
      <c r="A36" s="22" t="s">
        <v>2</v>
      </c>
      <c r="B36" s="22" t="s">
        <v>10</v>
      </c>
      <c r="C36" s="24">
        <f>INDEX(Output!$B$3:$P$17,MATCH('Defensive Summary'!C$1,Output!$A$3:$A$17,0),MATCH('Defensive Summary'!$A36,Output!$B$2:$P$2,0))*INDEX(Output!$B$3:$P$17,MATCH('Defensive Summary'!C$1,Output!$A$3:$A$17,0),MATCH('Defensive Summary'!$B36,Output!$B$2:$P$2,0))</f>
        <v>4</v>
      </c>
      <c r="D36" s="24">
        <f>INDEX(Output!$B$3:$P$17,MATCH('Defensive Summary'!D$1,Output!$A$3:$A$17,0),MATCH('Defensive Summary'!$A36,Output!$B$2:$P$2,0))*INDEX(Output!$B$3:$P$17,MATCH('Defensive Summary'!D$1,Output!$A$3:$A$17,0),MATCH('Defensive Summary'!$B36,Output!$B$2:$P$2,0))</f>
        <v>0.5</v>
      </c>
      <c r="E36" s="24">
        <f>INDEX(Output!$B$3:$P$17,MATCH('Defensive Summary'!E$1,Output!$A$3:$A$17,0),MATCH('Defensive Summary'!$A36,Output!$B$2:$P$2,0))*INDEX(Output!$B$3:$P$17,MATCH('Defensive Summary'!E$1,Output!$A$3:$A$17,0),MATCH('Defensive Summary'!$B36,Output!$B$2:$P$2,0))</f>
        <v>0.25</v>
      </c>
      <c r="F36" s="24">
        <f>INDEX(Output!$B$3:$P$17,MATCH('Defensive Summary'!F$1,Output!$A$3:$A$17,0),MATCH('Defensive Summary'!$A36,Output!$B$2:$P$2,0))*INDEX(Output!$B$3:$P$17,MATCH('Defensive Summary'!F$1,Output!$A$3:$A$17,0),MATCH('Defensive Summary'!$B36,Output!$B$2:$P$2,0))</f>
        <v>0.5</v>
      </c>
      <c r="G36" s="24">
        <f>INDEX(Output!$B$3:$P$17,MATCH('Defensive Summary'!G$1,Output!$A$3:$A$17,0),MATCH('Defensive Summary'!$A36,Output!$B$2:$P$2,0))*INDEX(Output!$B$3:$P$17,MATCH('Defensive Summary'!G$1,Output!$A$3:$A$17,0),MATCH('Defensive Summary'!$B36,Output!$B$2:$P$2,0))</f>
        <v>2</v>
      </c>
      <c r="H36" s="24">
        <f>INDEX(Output!$B$3:$P$17,MATCH('Defensive Summary'!H$1,Output!$A$3:$A$17,0),MATCH('Defensive Summary'!$A36,Output!$B$2:$P$2,0))*INDEX(Output!$B$3:$P$17,MATCH('Defensive Summary'!H$1,Output!$A$3:$A$17,0),MATCH('Defensive Summary'!$B36,Output!$B$2:$P$2,0))</f>
        <v>2</v>
      </c>
      <c r="I36" s="24">
        <f>INDEX(Output!$B$3:$P$17,MATCH('Defensive Summary'!I$1,Output!$A$3:$A$17,0),MATCH('Defensive Summary'!$A36,Output!$B$2:$P$2,0))*INDEX(Output!$B$3:$P$17,MATCH('Defensive Summary'!I$1,Output!$A$3:$A$17,0),MATCH('Defensive Summary'!$B36,Output!$B$2:$P$2,0))</f>
        <v>1</v>
      </c>
      <c r="J36" s="24">
        <f>INDEX(Output!$B$3:$P$17,MATCH('Defensive Summary'!J$1,Output!$A$3:$A$17,0),MATCH('Defensive Summary'!$A36,Output!$B$2:$P$2,0))*INDEX(Output!$B$3:$P$17,MATCH('Defensive Summary'!J$1,Output!$A$3:$A$17,0),MATCH('Defensive Summary'!$B36,Output!$B$2:$P$2,0))</f>
        <v>2</v>
      </c>
      <c r="K36" s="24">
        <f>INDEX(Output!$B$3:$P$17,MATCH('Defensive Summary'!K$1,Output!$A$3:$A$17,0),MATCH('Defensive Summary'!$A36,Output!$B$2:$P$2,0))*INDEX(Output!$B$3:$P$17,MATCH('Defensive Summary'!K$1,Output!$A$3:$A$17,0),MATCH('Defensive Summary'!$B36,Output!$B$2:$P$2,0))</f>
        <v>0.25</v>
      </c>
      <c r="L36" s="24">
        <f>INDEX(Output!$B$3:$P$17,MATCH('Defensive Summary'!L$1,Output!$A$3:$A$17,0),MATCH('Defensive Summary'!$A36,Output!$B$2:$P$2,0))*INDEX(Output!$B$3:$P$17,MATCH('Defensive Summary'!L$1,Output!$A$3:$A$17,0),MATCH('Defensive Summary'!$B36,Output!$B$2:$P$2,0))</f>
        <v>0</v>
      </c>
      <c r="M36" s="24">
        <f>INDEX(Output!$B$3:$P$17,MATCH('Defensive Summary'!M$1,Output!$A$3:$A$17,0),MATCH('Defensive Summary'!$A36,Output!$B$2:$P$2,0))*INDEX(Output!$B$3:$P$17,MATCH('Defensive Summary'!M$1,Output!$A$3:$A$17,0),MATCH('Defensive Summary'!$B36,Output!$B$2:$P$2,0))</f>
        <v>1</v>
      </c>
      <c r="N36" s="24">
        <f>INDEX(Output!$B$3:$P$17,MATCH('Defensive Summary'!N$1,Output!$A$3:$A$17,0),MATCH('Defensive Summary'!$A36,Output!$B$2:$P$2,0))*INDEX(Output!$B$3:$P$17,MATCH('Defensive Summary'!N$1,Output!$A$3:$A$17,0),MATCH('Defensive Summary'!$B36,Output!$B$2:$P$2,0))</f>
        <v>0.5</v>
      </c>
      <c r="O36" s="24">
        <f>INDEX(Output!$B$3:$P$17,MATCH('Defensive Summary'!O$1,Output!$A$3:$A$17,0),MATCH('Defensive Summary'!$A36,Output!$B$2:$P$2,0))*INDEX(Output!$B$3:$P$17,MATCH('Defensive Summary'!O$1,Output!$A$3:$A$17,0),MATCH('Defensive Summary'!$B36,Output!$B$2:$P$2,0))</f>
        <v>0.5</v>
      </c>
      <c r="P36" s="24">
        <f>INDEX(Output!$B$3:$P$17,MATCH('Defensive Summary'!P$1,Output!$A$3:$A$17,0),MATCH('Defensive Summary'!$A36,Output!$B$2:$P$2,0))*INDEX(Output!$B$3:$P$17,MATCH('Defensive Summary'!P$1,Output!$A$3:$A$17,0),MATCH('Defensive Summary'!$B36,Output!$B$2:$P$2,0))</f>
        <v>1</v>
      </c>
      <c r="Q36" s="24">
        <f>INDEX(Output!$B$3:$P$17,MATCH('Defensive Summary'!Q$1,Output!$A$3:$A$17,0),MATCH('Defensive Summary'!$A36,Output!$B$2:$P$2,0))*INDEX(Output!$B$3:$P$17,MATCH('Defensive Summary'!Q$1,Output!$A$3:$A$17,0),MATCH('Defensive Summary'!$B36,Output!$B$2:$P$2,0))</f>
        <v>1</v>
      </c>
      <c r="R36" s="24"/>
      <c r="S36" s="25">
        <f t="shared" si="0"/>
        <v>7</v>
      </c>
      <c r="T36" s="22" t="s">
        <v>2</v>
      </c>
      <c r="U36" s="22" t="s">
        <v>10</v>
      </c>
      <c r="V36" s="24" cm="1">
        <f t="array" ref="V36">_xlfn.IFS(C36=1,0,C36=2,-1,C36=4,-2,C36=0.5,1,C36=0.25,2,C36=0,4)</f>
        <v>-2</v>
      </c>
      <c r="W36" s="24" cm="1">
        <f t="array" ref="W36">_xlfn.IFS(D36=1,0,D36=2,-1,D36=4,-2,D36=0.5,1,D36=0.25,2,D36=0,4)</f>
        <v>1</v>
      </c>
      <c r="X36" s="24" cm="1">
        <f t="array" ref="X36">_xlfn.IFS(E36=1,0,E36=2,-1,E36=4,-2,E36=0.5,1,E36=0.25,2,E36=0,4)</f>
        <v>2</v>
      </c>
      <c r="Y36" s="24" cm="1">
        <f t="array" ref="Y36">_xlfn.IFS(F36=1,0,F36=2,-1,F36=4,-2,F36=0.5,1,F36=0.25,2,F36=0,4)</f>
        <v>1</v>
      </c>
      <c r="Z36" s="24" cm="1">
        <f t="array" ref="Z36">_xlfn.IFS(G36=1,0,G36=2,-1,G36=4,-2,G36=0.5,1,G36=0.25,2,G36=0,4)</f>
        <v>-1</v>
      </c>
      <c r="AA36" s="24" cm="1">
        <f t="array" ref="AA36">_xlfn.IFS(H36=1,0,H36=2,-1,H36=4,-2,H36=0.5,1,H36=0.25,2,H36=0,4)</f>
        <v>-1</v>
      </c>
      <c r="AB36" s="24" cm="1">
        <f t="array" ref="AB36">_xlfn.IFS(I36=1,0,I36=2,-1,I36=4,-2,I36=0.5,1,I36=0.25,2,I36=0,4)</f>
        <v>0</v>
      </c>
      <c r="AC36" s="24" cm="1">
        <f t="array" ref="AC36">_xlfn.IFS(J36=1,0,J36=2,-1,J36=4,-2,J36=0.5,1,J36=0.25,2,J36=0,4)</f>
        <v>-1</v>
      </c>
      <c r="AD36" s="24" cm="1">
        <f t="array" ref="AD36">_xlfn.IFS(K36=1,0,K36=2,-1,K36=4,-2,K36=0.5,1,K36=0.25,2,K36=0,4)</f>
        <v>2</v>
      </c>
      <c r="AE36" s="24" cm="1">
        <f t="array" ref="AE36">_xlfn.IFS(L36=1,0,L36=2,-1,L36=4,-2,L36=0.5,1,L36=0.25,2,L36=0,4)</f>
        <v>4</v>
      </c>
      <c r="AF36" s="24" cm="1">
        <f t="array" ref="AF36">_xlfn.IFS(M36=1,0,M36=2,-1,M36=4,-2,M36=0.5,1,M36=0.25,2,M36=0,4)</f>
        <v>0</v>
      </c>
      <c r="AG36" s="24" cm="1">
        <f t="array" ref="AG36">_xlfn.IFS(N36=1,0,N36=2,-1,N36=4,-2,N36=0.5,1,N36=0.25,2,N36=0,4)</f>
        <v>1</v>
      </c>
      <c r="AH36" s="24" cm="1">
        <f t="array" ref="AH36">_xlfn.IFS(O36=1,0,O36=2,-1,O36=4,-2,O36=0.5,1,O36=0.25,2,O36=0,4)</f>
        <v>1</v>
      </c>
      <c r="AI36" s="24" cm="1">
        <f t="array" ref="AI36">_xlfn.IFS(P36=1,0,P36=2,-1,P36=4,-2,P36=0.5,1,P36=0.25,2,P36=0,4)</f>
        <v>0</v>
      </c>
      <c r="AJ36" s="24" cm="1">
        <f t="array" ref="AJ36">_xlfn.IFS(Q36=1,0,Q36=2,-1,Q36=4,-2,Q36=0.5,1,Q36=0.25,2,Q36=0,4)</f>
        <v>0</v>
      </c>
    </row>
    <row r="37" spans="1:36" x14ac:dyDescent="0.2">
      <c r="A37" s="22" t="s">
        <v>2</v>
      </c>
      <c r="B37" s="22" t="s">
        <v>11</v>
      </c>
      <c r="C37" s="24">
        <f>INDEX(Output!$B$3:$P$17,MATCH('Defensive Summary'!C$1,Output!$A$3:$A$17,0),MATCH('Defensive Summary'!$A37,Output!$B$2:$P$2,0))*INDEX(Output!$B$3:$P$17,MATCH('Defensive Summary'!C$1,Output!$A$3:$A$17,0),MATCH('Defensive Summary'!$B37,Output!$B$2:$P$2,0))</f>
        <v>2</v>
      </c>
      <c r="D37" s="24">
        <f>INDEX(Output!$B$3:$P$17,MATCH('Defensive Summary'!D$1,Output!$A$3:$A$17,0),MATCH('Defensive Summary'!$A37,Output!$B$2:$P$2,0))*INDEX(Output!$B$3:$P$17,MATCH('Defensive Summary'!D$1,Output!$A$3:$A$17,0),MATCH('Defensive Summary'!$B37,Output!$B$2:$P$2,0))</f>
        <v>0.5</v>
      </c>
      <c r="E37" s="24">
        <f>INDEX(Output!$B$3:$P$17,MATCH('Defensive Summary'!E$1,Output!$A$3:$A$17,0),MATCH('Defensive Summary'!$A37,Output!$B$2:$P$2,0))*INDEX(Output!$B$3:$P$17,MATCH('Defensive Summary'!E$1,Output!$A$3:$A$17,0),MATCH('Defensive Summary'!$B37,Output!$B$2:$P$2,0))</f>
        <v>0.5</v>
      </c>
      <c r="F37" s="24">
        <f>INDEX(Output!$B$3:$P$17,MATCH('Defensive Summary'!F$1,Output!$A$3:$A$17,0),MATCH('Defensive Summary'!$A37,Output!$B$2:$P$2,0))*INDEX(Output!$B$3:$P$17,MATCH('Defensive Summary'!F$1,Output!$A$3:$A$17,0),MATCH('Defensive Summary'!$B37,Output!$B$2:$P$2,0))</f>
        <v>0.5</v>
      </c>
      <c r="G37" s="24">
        <f>INDEX(Output!$B$3:$P$17,MATCH('Defensive Summary'!G$1,Output!$A$3:$A$17,0),MATCH('Defensive Summary'!$A37,Output!$B$2:$P$2,0))*INDEX(Output!$B$3:$P$17,MATCH('Defensive Summary'!G$1,Output!$A$3:$A$17,0),MATCH('Defensive Summary'!$B37,Output!$B$2:$P$2,0))</f>
        <v>1</v>
      </c>
      <c r="H37" s="24">
        <f>INDEX(Output!$B$3:$P$17,MATCH('Defensive Summary'!H$1,Output!$A$3:$A$17,0),MATCH('Defensive Summary'!$A37,Output!$B$2:$P$2,0))*INDEX(Output!$B$3:$P$17,MATCH('Defensive Summary'!H$1,Output!$A$3:$A$17,0),MATCH('Defensive Summary'!$B37,Output!$B$2:$P$2,0))</f>
        <v>1</v>
      </c>
      <c r="I37" s="24">
        <f>INDEX(Output!$B$3:$P$17,MATCH('Defensive Summary'!I$1,Output!$A$3:$A$17,0),MATCH('Defensive Summary'!$A37,Output!$B$2:$P$2,0))*INDEX(Output!$B$3:$P$17,MATCH('Defensive Summary'!I$1,Output!$A$3:$A$17,0),MATCH('Defensive Summary'!$B37,Output!$B$2:$P$2,0))</f>
        <v>1</v>
      </c>
      <c r="J37" s="24">
        <f>INDEX(Output!$B$3:$P$17,MATCH('Defensive Summary'!J$1,Output!$A$3:$A$17,0),MATCH('Defensive Summary'!$A37,Output!$B$2:$P$2,0))*INDEX(Output!$B$3:$P$17,MATCH('Defensive Summary'!J$1,Output!$A$3:$A$17,0),MATCH('Defensive Summary'!$B37,Output!$B$2:$P$2,0))</f>
        <v>1</v>
      </c>
      <c r="K37" s="24">
        <f>INDEX(Output!$B$3:$P$17,MATCH('Defensive Summary'!K$1,Output!$A$3:$A$17,0),MATCH('Defensive Summary'!$A37,Output!$B$2:$P$2,0))*INDEX(Output!$B$3:$P$17,MATCH('Defensive Summary'!K$1,Output!$A$3:$A$17,0),MATCH('Defensive Summary'!$B37,Output!$B$2:$P$2,0))</f>
        <v>0.5</v>
      </c>
      <c r="L37" s="24">
        <f>INDEX(Output!$B$3:$P$17,MATCH('Defensive Summary'!L$1,Output!$A$3:$A$17,0),MATCH('Defensive Summary'!$A37,Output!$B$2:$P$2,0))*INDEX(Output!$B$3:$P$17,MATCH('Defensive Summary'!L$1,Output!$A$3:$A$17,0),MATCH('Defensive Summary'!$B37,Output!$B$2:$P$2,0))</f>
        <v>1</v>
      </c>
      <c r="M37" s="24">
        <f>INDEX(Output!$B$3:$P$17,MATCH('Defensive Summary'!M$1,Output!$A$3:$A$17,0),MATCH('Defensive Summary'!$A37,Output!$B$2:$P$2,0))*INDEX(Output!$B$3:$P$17,MATCH('Defensive Summary'!M$1,Output!$A$3:$A$17,0),MATCH('Defensive Summary'!$B37,Output!$B$2:$P$2,0))</f>
        <v>1</v>
      </c>
      <c r="N37" s="24">
        <f>INDEX(Output!$B$3:$P$17,MATCH('Defensive Summary'!N$1,Output!$A$3:$A$17,0),MATCH('Defensive Summary'!$A37,Output!$B$2:$P$2,0))*INDEX(Output!$B$3:$P$17,MATCH('Defensive Summary'!N$1,Output!$A$3:$A$17,0),MATCH('Defensive Summary'!$B37,Output!$B$2:$P$2,0))</f>
        <v>0.5</v>
      </c>
      <c r="O37" s="24">
        <f>INDEX(Output!$B$3:$P$17,MATCH('Defensive Summary'!O$1,Output!$A$3:$A$17,0),MATCH('Defensive Summary'!$A37,Output!$B$2:$P$2,0))*INDEX(Output!$B$3:$P$17,MATCH('Defensive Summary'!O$1,Output!$A$3:$A$17,0),MATCH('Defensive Summary'!$B37,Output!$B$2:$P$2,0))</f>
        <v>2</v>
      </c>
      <c r="P37" s="24">
        <f>INDEX(Output!$B$3:$P$17,MATCH('Defensive Summary'!P$1,Output!$A$3:$A$17,0),MATCH('Defensive Summary'!$A37,Output!$B$2:$P$2,0))*INDEX(Output!$B$3:$P$17,MATCH('Defensive Summary'!P$1,Output!$A$3:$A$17,0),MATCH('Defensive Summary'!$B37,Output!$B$2:$P$2,0))</f>
        <v>0.5</v>
      </c>
      <c r="Q37" s="24">
        <f>INDEX(Output!$B$3:$P$17,MATCH('Defensive Summary'!Q$1,Output!$A$3:$A$17,0),MATCH('Defensive Summary'!$A37,Output!$B$2:$P$2,0))*INDEX(Output!$B$3:$P$17,MATCH('Defensive Summary'!Q$1,Output!$A$3:$A$17,0),MATCH('Defensive Summary'!$B37,Output!$B$2:$P$2,0))</f>
        <v>1</v>
      </c>
      <c r="R37" s="24"/>
      <c r="S37" s="25">
        <f t="shared" si="0"/>
        <v>4</v>
      </c>
      <c r="T37" s="22" t="s">
        <v>2</v>
      </c>
      <c r="U37" s="22" t="s">
        <v>11</v>
      </c>
      <c r="V37" s="24" cm="1">
        <f t="array" ref="V37">_xlfn.IFS(C37=1,0,C37=2,-1,C37=4,-2,C37=0.5,1,C37=0.25,2,C37=0,4)</f>
        <v>-1</v>
      </c>
      <c r="W37" s="24" cm="1">
        <f t="array" ref="W37">_xlfn.IFS(D37=1,0,D37=2,-1,D37=4,-2,D37=0.5,1,D37=0.25,2,D37=0,4)</f>
        <v>1</v>
      </c>
      <c r="X37" s="24" cm="1">
        <f t="array" ref="X37">_xlfn.IFS(E37=1,0,E37=2,-1,E37=4,-2,E37=0.5,1,E37=0.25,2,E37=0,4)</f>
        <v>1</v>
      </c>
      <c r="Y37" s="24" cm="1">
        <f t="array" ref="Y37">_xlfn.IFS(F37=1,0,F37=2,-1,F37=4,-2,F37=0.5,1,F37=0.25,2,F37=0,4)</f>
        <v>1</v>
      </c>
      <c r="Z37" s="24" cm="1">
        <f t="array" ref="Z37">_xlfn.IFS(G37=1,0,G37=2,-1,G37=4,-2,G37=0.5,1,G37=0.25,2,G37=0,4)</f>
        <v>0</v>
      </c>
      <c r="AA37" s="24" cm="1">
        <f t="array" ref="AA37">_xlfn.IFS(H37=1,0,H37=2,-1,H37=4,-2,H37=0.5,1,H37=0.25,2,H37=0,4)</f>
        <v>0</v>
      </c>
      <c r="AB37" s="24" cm="1">
        <f t="array" ref="AB37">_xlfn.IFS(I37=1,0,I37=2,-1,I37=4,-2,I37=0.5,1,I37=0.25,2,I37=0,4)</f>
        <v>0</v>
      </c>
      <c r="AC37" s="24" cm="1">
        <f t="array" ref="AC37">_xlfn.IFS(J37=1,0,J37=2,-1,J37=4,-2,J37=0.5,1,J37=0.25,2,J37=0,4)</f>
        <v>0</v>
      </c>
      <c r="AD37" s="24" cm="1">
        <f t="array" ref="AD37">_xlfn.IFS(K37=1,0,K37=2,-1,K37=4,-2,K37=0.5,1,K37=0.25,2,K37=0,4)</f>
        <v>1</v>
      </c>
      <c r="AE37" s="24" cm="1">
        <f t="array" ref="AE37">_xlfn.IFS(L37=1,0,L37=2,-1,L37=4,-2,L37=0.5,1,L37=0.25,2,L37=0,4)</f>
        <v>0</v>
      </c>
      <c r="AF37" s="24" cm="1">
        <f t="array" ref="AF37">_xlfn.IFS(M37=1,0,M37=2,-1,M37=4,-2,M37=0.5,1,M37=0.25,2,M37=0,4)</f>
        <v>0</v>
      </c>
      <c r="AG37" s="24" cm="1">
        <f t="array" ref="AG37">_xlfn.IFS(N37=1,0,N37=2,-1,N37=4,-2,N37=0.5,1,N37=0.25,2,N37=0,4)</f>
        <v>1</v>
      </c>
      <c r="AH37" s="24" cm="1">
        <f t="array" ref="AH37">_xlfn.IFS(O37=1,0,O37=2,-1,O37=4,-2,O37=0.5,1,O37=0.25,2,O37=0,4)</f>
        <v>-1</v>
      </c>
      <c r="AI37" s="24" cm="1">
        <f t="array" ref="AI37">_xlfn.IFS(P37=1,0,P37=2,-1,P37=4,-2,P37=0.5,1,P37=0.25,2,P37=0,4)</f>
        <v>1</v>
      </c>
      <c r="AJ37" s="24" cm="1">
        <f t="array" ref="AJ37">_xlfn.IFS(Q37=1,0,Q37=2,-1,Q37=4,-2,Q37=0.5,1,Q37=0.25,2,Q37=0,4)</f>
        <v>0</v>
      </c>
    </row>
    <row r="38" spans="1:36" x14ac:dyDescent="0.2">
      <c r="A38" s="22" t="s">
        <v>2</v>
      </c>
      <c r="B38" s="22" t="s">
        <v>12</v>
      </c>
      <c r="C38" s="24">
        <f>INDEX(Output!$B$3:$P$17,MATCH('Defensive Summary'!C$1,Output!$A$3:$A$17,0),MATCH('Defensive Summary'!$A38,Output!$B$2:$P$2,0))*INDEX(Output!$B$3:$P$17,MATCH('Defensive Summary'!C$1,Output!$A$3:$A$17,0),MATCH('Defensive Summary'!$B38,Output!$B$2:$P$2,0))</f>
        <v>4</v>
      </c>
      <c r="D38" s="24">
        <f>INDEX(Output!$B$3:$P$17,MATCH('Defensive Summary'!D$1,Output!$A$3:$A$17,0),MATCH('Defensive Summary'!$A38,Output!$B$2:$P$2,0))*INDEX(Output!$B$3:$P$17,MATCH('Defensive Summary'!D$1,Output!$A$3:$A$17,0),MATCH('Defensive Summary'!$B38,Output!$B$2:$P$2,0))</f>
        <v>1</v>
      </c>
      <c r="E38" s="24">
        <f>INDEX(Output!$B$3:$P$17,MATCH('Defensive Summary'!E$1,Output!$A$3:$A$17,0),MATCH('Defensive Summary'!$A38,Output!$B$2:$P$2,0))*INDEX(Output!$B$3:$P$17,MATCH('Defensive Summary'!E$1,Output!$A$3:$A$17,0),MATCH('Defensive Summary'!$B38,Output!$B$2:$P$2,0))</f>
        <v>1</v>
      </c>
      <c r="F38" s="24">
        <f>INDEX(Output!$B$3:$P$17,MATCH('Defensive Summary'!F$1,Output!$A$3:$A$17,0),MATCH('Defensive Summary'!$A38,Output!$B$2:$P$2,0))*INDEX(Output!$B$3:$P$17,MATCH('Defensive Summary'!F$1,Output!$A$3:$A$17,0),MATCH('Defensive Summary'!$B38,Output!$B$2:$P$2,0))</f>
        <v>0.5</v>
      </c>
      <c r="G38" s="24">
        <f>INDEX(Output!$B$3:$P$17,MATCH('Defensive Summary'!G$1,Output!$A$3:$A$17,0),MATCH('Defensive Summary'!$A38,Output!$B$2:$P$2,0))*INDEX(Output!$B$3:$P$17,MATCH('Defensive Summary'!G$1,Output!$A$3:$A$17,0),MATCH('Defensive Summary'!$B38,Output!$B$2:$P$2,0))</f>
        <v>0.5</v>
      </c>
      <c r="H38" s="24">
        <f>INDEX(Output!$B$3:$P$17,MATCH('Defensive Summary'!H$1,Output!$A$3:$A$17,0),MATCH('Defensive Summary'!$A38,Output!$B$2:$P$2,0))*INDEX(Output!$B$3:$P$17,MATCH('Defensive Summary'!H$1,Output!$A$3:$A$17,0),MATCH('Defensive Summary'!$B38,Output!$B$2:$P$2,0))</f>
        <v>2</v>
      </c>
      <c r="I38" s="24">
        <f>INDEX(Output!$B$3:$P$17,MATCH('Defensive Summary'!I$1,Output!$A$3:$A$17,0),MATCH('Defensive Summary'!$A38,Output!$B$2:$P$2,0))*INDEX(Output!$B$3:$P$17,MATCH('Defensive Summary'!I$1,Output!$A$3:$A$17,0),MATCH('Defensive Summary'!$B38,Output!$B$2:$P$2,0))</f>
        <v>4</v>
      </c>
      <c r="J38" s="24">
        <f>INDEX(Output!$B$3:$P$17,MATCH('Defensive Summary'!J$1,Output!$A$3:$A$17,0),MATCH('Defensive Summary'!$A38,Output!$B$2:$P$2,0))*INDEX(Output!$B$3:$P$17,MATCH('Defensive Summary'!J$1,Output!$A$3:$A$17,0),MATCH('Defensive Summary'!$B38,Output!$B$2:$P$2,0))</f>
        <v>0.5</v>
      </c>
      <c r="K38" s="24">
        <f>INDEX(Output!$B$3:$P$17,MATCH('Defensive Summary'!K$1,Output!$A$3:$A$17,0),MATCH('Defensive Summary'!$A38,Output!$B$2:$P$2,0))*INDEX(Output!$B$3:$P$17,MATCH('Defensive Summary'!K$1,Output!$A$3:$A$17,0),MATCH('Defensive Summary'!$B38,Output!$B$2:$P$2,0))</f>
        <v>0.5</v>
      </c>
      <c r="L38" s="24">
        <f>INDEX(Output!$B$3:$P$17,MATCH('Defensive Summary'!L$1,Output!$A$3:$A$17,0),MATCH('Defensive Summary'!$A38,Output!$B$2:$P$2,0))*INDEX(Output!$B$3:$P$17,MATCH('Defensive Summary'!L$1,Output!$A$3:$A$17,0),MATCH('Defensive Summary'!$B38,Output!$B$2:$P$2,0))</f>
        <v>2</v>
      </c>
      <c r="M38" s="24">
        <f>INDEX(Output!$B$3:$P$17,MATCH('Defensive Summary'!M$1,Output!$A$3:$A$17,0),MATCH('Defensive Summary'!$A38,Output!$B$2:$P$2,0))*INDEX(Output!$B$3:$P$17,MATCH('Defensive Summary'!M$1,Output!$A$3:$A$17,0),MATCH('Defensive Summary'!$B38,Output!$B$2:$P$2,0))</f>
        <v>1</v>
      </c>
      <c r="N38" s="24">
        <f>INDEX(Output!$B$3:$P$17,MATCH('Defensive Summary'!N$1,Output!$A$3:$A$17,0),MATCH('Defensive Summary'!$A38,Output!$B$2:$P$2,0))*INDEX(Output!$B$3:$P$17,MATCH('Defensive Summary'!N$1,Output!$A$3:$A$17,0),MATCH('Defensive Summary'!$B38,Output!$B$2:$P$2,0))</f>
        <v>0</v>
      </c>
      <c r="O38" s="24">
        <f>INDEX(Output!$B$3:$P$17,MATCH('Defensive Summary'!O$1,Output!$A$3:$A$17,0),MATCH('Defensive Summary'!$A38,Output!$B$2:$P$2,0))*INDEX(Output!$B$3:$P$17,MATCH('Defensive Summary'!O$1,Output!$A$3:$A$17,0),MATCH('Defensive Summary'!$B38,Output!$B$2:$P$2,0))</f>
        <v>0.5</v>
      </c>
      <c r="P38" s="24">
        <f>INDEX(Output!$B$3:$P$17,MATCH('Defensive Summary'!P$1,Output!$A$3:$A$17,0),MATCH('Defensive Summary'!$A38,Output!$B$2:$P$2,0))*INDEX(Output!$B$3:$P$17,MATCH('Defensive Summary'!P$1,Output!$A$3:$A$17,0),MATCH('Defensive Summary'!$B38,Output!$B$2:$P$2,0))</f>
        <v>0</v>
      </c>
      <c r="Q38" s="24">
        <f>INDEX(Output!$B$3:$P$17,MATCH('Defensive Summary'!Q$1,Output!$A$3:$A$17,0),MATCH('Defensive Summary'!$A38,Output!$B$2:$P$2,0))*INDEX(Output!$B$3:$P$17,MATCH('Defensive Summary'!Q$1,Output!$A$3:$A$17,0),MATCH('Defensive Summary'!$B38,Output!$B$2:$P$2,0))</f>
        <v>1</v>
      </c>
      <c r="R38" s="24"/>
      <c r="S38" s="25">
        <f t="shared" si="0"/>
        <v>7</v>
      </c>
      <c r="T38" s="22" t="s">
        <v>2</v>
      </c>
      <c r="U38" s="22" t="s">
        <v>12</v>
      </c>
      <c r="V38" s="24" cm="1">
        <f t="array" ref="V38">_xlfn.IFS(C38=1,0,C38=2,-1,C38=4,-2,C38=0.5,1,C38=0.25,2,C38=0,4)</f>
        <v>-2</v>
      </c>
      <c r="W38" s="24" cm="1">
        <f t="array" ref="W38">_xlfn.IFS(D38=1,0,D38=2,-1,D38=4,-2,D38=0.5,1,D38=0.25,2,D38=0,4)</f>
        <v>0</v>
      </c>
      <c r="X38" s="24" cm="1">
        <f t="array" ref="X38">_xlfn.IFS(E38=1,0,E38=2,-1,E38=4,-2,E38=0.5,1,E38=0.25,2,E38=0,4)</f>
        <v>0</v>
      </c>
      <c r="Y38" s="24" cm="1">
        <f t="array" ref="Y38">_xlfn.IFS(F38=1,0,F38=2,-1,F38=4,-2,F38=0.5,1,F38=0.25,2,F38=0,4)</f>
        <v>1</v>
      </c>
      <c r="Z38" s="24" cm="1">
        <f t="array" ref="Z38">_xlfn.IFS(G38=1,0,G38=2,-1,G38=4,-2,G38=0.5,1,G38=0.25,2,G38=0,4)</f>
        <v>1</v>
      </c>
      <c r="AA38" s="24" cm="1">
        <f t="array" ref="AA38">_xlfn.IFS(H38=1,0,H38=2,-1,H38=4,-2,H38=0.5,1,H38=0.25,2,H38=0,4)</f>
        <v>-1</v>
      </c>
      <c r="AB38" s="24" cm="1">
        <f t="array" ref="AB38">_xlfn.IFS(I38=1,0,I38=2,-1,I38=4,-2,I38=0.5,1,I38=0.25,2,I38=0,4)</f>
        <v>-2</v>
      </c>
      <c r="AC38" s="24" cm="1">
        <f t="array" ref="AC38">_xlfn.IFS(J38=1,0,J38=2,-1,J38=4,-2,J38=0.5,1,J38=0.25,2,J38=0,4)</f>
        <v>1</v>
      </c>
      <c r="AD38" s="24" cm="1">
        <f t="array" ref="AD38">_xlfn.IFS(K38=1,0,K38=2,-1,K38=4,-2,K38=0.5,1,K38=0.25,2,K38=0,4)</f>
        <v>1</v>
      </c>
      <c r="AE38" s="24" cm="1">
        <f t="array" ref="AE38">_xlfn.IFS(L38=1,0,L38=2,-1,L38=4,-2,L38=0.5,1,L38=0.25,2,L38=0,4)</f>
        <v>-1</v>
      </c>
      <c r="AF38" s="24" cm="1">
        <f t="array" ref="AF38">_xlfn.IFS(M38=1,0,M38=2,-1,M38=4,-2,M38=0.5,1,M38=0.25,2,M38=0,4)</f>
        <v>0</v>
      </c>
      <c r="AG38" s="24" cm="1">
        <f t="array" ref="AG38">_xlfn.IFS(N38=1,0,N38=2,-1,N38=4,-2,N38=0.5,1,N38=0.25,2,N38=0,4)</f>
        <v>4</v>
      </c>
      <c r="AH38" s="24" cm="1">
        <f t="array" ref="AH38">_xlfn.IFS(O38=1,0,O38=2,-1,O38=4,-2,O38=0.5,1,O38=0.25,2,O38=0,4)</f>
        <v>1</v>
      </c>
      <c r="AI38" s="24" cm="1">
        <f t="array" ref="AI38">_xlfn.IFS(P38=1,0,P38=2,-1,P38=4,-2,P38=0.5,1,P38=0.25,2,P38=0,4)</f>
        <v>4</v>
      </c>
      <c r="AJ38" s="24" cm="1">
        <f t="array" ref="AJ38">_xlfn.IFS(Q38=1,0,Q38=2,-1,Q38=4,-2,Q38=0.5,1,Q38=0.25,2,Q38=0,4)</f>
        <v>0</v>
      </c>
    </row>
    <row r="39" spans="1:36" x14ac:dyDescent="0.2">
      <c r="A39" s="22" t="s">
        <v>2</v>
      </c>
      <c r="B39" s="22" t="s">
        <v>13</v>
      </c>
      <c r="C39" s="24">
        <f>INDEX(Output!$B$3:$P$17,MATCH('Defensive Summary'!C$1,Output!$A$3:$A$17,0),MATCH('Defensive Summary'!$A39,Output!$B$2:$P$2,0))*INDEX(Output!$B$3:$P$17,MATCH('Defensive Summary'!C$1,Output!$A$3:$A$17,0),MATCH('Defensive Summary'!$B39,Output!$B$2:$P$2,0))</f>
        <v>2</v>
      </c>
      <c r="D39" s="24">
        <f>INDEX(Output!$B$3:$P$17,MATCH('Defensive Summary'!D$1,Output!$A$3:$A$17,0),MATCH('Defensive Summary'!$A39,Output!$B$2:$P$2,0))*INDEX(Output!$B$3:$P$17,MATCH('Defensive Summary'!D$1,Output!$A$3:$A$17,0),MATCH('Defensive Summary'!$B39,Output!$B$2:$P$2,0))</f>
        <v>0.25</v>
      </c>
      <c r="E39" s="24">
        <f>INDEX(Output!$B$3:$P$17,MATCH('Defensive Summary'!E$1,Output!$A$3:$A$17,0),MATCH('Defensive Summary'!$A39,Output!$B$2:$P$2,0))*INDEX(Output!$B$3:$P$17,MATCH('Defensive Summary'!E$1,Output!$A$3:$A$17,0),MATCH('Defensive Summary'!$B39,Output!$B$2:$P$2,0))</f>
        <v>0.5</v>
      </c>
      <c r="F39" s="24">
        <f>INDEX(Output!$B$3:$P$17,MATCH('Defensive Summary'!F$1,Output!$A$3:$A$17,0),MATCH('Defensive Summary'!$A39,Output!$B$2:$P$2,0))*INDEX(Output!$B$3:$P$17,MATCH('Defensive Summary'!F$1,Output!$A$3:$A$17,0),MATCH('Defensive Summary'!$B39,Output!$B$2:$P$2,0))</f>
        <v>0.5</v>
      </c>
      <c r="G39" s="24">
        <f>INDEX(Output!$B$3:$P$17,MATCH('Defensive Summary'!G$1,Output!$A$3:$A$17,0),MATCH('Defensive Summary'!$A39,Output!$B$2:$P$2,0))*INDEX(Output!$B$3:$P$17,MATCH('Defensive Summary'!G$1,Output!$A$3:$A$17,0),MATCH('Defensive Summary'!$B39,Output!$B$2:$P$2,0))</f>
        <v>1</v>
      </c>
      <c r="H39" s="24">
        <f>INDEX(Output!$B$3:$P$17,MATCH('Defensive Summary'!H$1,Output!$A$3:$A$17,0),MATCH('Defensive Summary'!$A39,Output!$B$2:$P$2,0))*INDEX(Output!$B$3:$P$17,MATCH('Defensive Summary'!H$1,Output!$A$3:$A$17,0),MATCH('Defensive Summary'!$B39,Output!$B$2:$P$2,0))</f>
        <v>0.5</v>
      </c>
      <c r="I39" s="24">
        <f>INDEX(Output!$B$3:$P$17,MATCH('Defensive Summary'!I$1,Output!$A$3:$A$17,0),MATCH('Defensive Summary'!$A39,Output!$B$2:$P$2,0))*INDEX(Output!$B$3:$P$17,MATCH('Defensive Summary'!I$1,Output!$A$3:$A$17,0),MATCH('Defensive Summary'!$B39,Output!$B$2:$P$2,0))</f>
        <v>1</v>
      </c>
      <c r="J39" s="24">
        <f>INDEX(Output!$B$3:$P$17,MATCH('Defensive Summary'!J$1,Output!$A$3:$A$17,0),MATCH('Defensive Summary'!$A39,Output!$B$2:$P$2,0))*INDEX(Output!$B$3:$P$17,MATCH('Defensive Summary'!J$1,Output!$A$3:$A$17,0),MATCH('Defensive Summary'!$B39,Output!$B$2:$P$2,0))</f>
        <v>1</v>
      </c>
      <c r="K39" s="24">
        <f>INDEX(Output!$B$3:$P$17,MATCH('Defensive Summary'!K$1,Output!$A$3:$A$17,0),MATCH('Defensive Summary'!$A39,Output!$B$2:$P$2,0))*INDEX(Output!$B$3:$P$17,MATCH('Defensive Summary'!K$1,Output!$A$3:$A$17,0),MATCH('Defensive Summary'!$B39,Output!$B$2:$P$2,0))</f>
        <v>1</v>
      </c>
      <c r="L39" s="24">
        <f>INDEX(Output!$B$3:$P$17,MATCH('Defensive Summary'!L$1,Output!$A$3:$A$17,0),MATCH('Defensive Summary'!$A39,Output!$B$2:$P$2,0))*INDEX(Output!$B$3:$P$17,MATCH('Defensive Summary'!L$1,Output!$A$3:$A$17,0),MATCH('Defensive Summary'!$B39,Output!$B$2:$P$2,0))</f>
        <v>1</v>
      </c>
      <c r="M39" s="24">
        <f>INDEX(Output!$B$3:$P$17,MATCH('Defensive Summary'!M$1,Output!$A$3:$A$17,0),MATCH('Defensive Summary'!$A39,Output!$B$2:$P$2,0))*INDEX(Output!$B$3:$P$17,MATCH('Defensive Summary'!M$1,Output!$A$3:$A$17,0),MATCH('Defensive Summary'!$B39,Output!$B$2:$P$2,0))</f>
        <v>0.5</v>
      </c>
      <c r="N39" s="24">
        <f>INDEX(Output!$B$3:$P$17,MATCH('Defensive Summary'!N$1,Output!$A$3:$A$17,0),MATCH('Defensive Summary'!$A39,Output!$B$2:$P$2,0))*INDEX(Output!$B$3:$P$17,MATCH('Defensive Summary'!N$1,Output!$A$3:$A$17,0),MATCH('Defensive Summary'!$B39,Output!$B$2:$P$2,0))</f>
        <v>0.5</v>
      </c>
      <c r="O39" s="24">
        <f>INDEX(Output!$B$3:$P$17,MATCH('Defensive Summary'!O$1,Output!$A$3:$A$17,0),MATCH('Defensive Summary'!$A39,Output!$B$2:$P$2,0))*INDEX(Output!$B$3:$P$17,MATCH('Defensive Summary'!O$1,Output!$A$3:$A$17,0),MATCH('Defensive Summary'!$B39,Output!$B$2:$P$2,0))</f>
        <v>2</v>
      </c>
      <c r="P39" s="24">
        <f>INDEX(Output!$B$3:$P$17,MATCH('Defensive Summary'!P$1,Output!$A$3:$A$17,0),MATCH('Defensive Summary'!$A39,Output!$B$2:$P$2,0))*INDEX(Output!$B$3:$P$17,MATCH('Defensive Summary'!P$1,Output!$A$3:$A$17,0),MATCH('Defensive Summary'!$B39,Output!$B$2:$P$2,0))</f>
        <v>0.5</v>
      </c>
      <c r="Q39" s="24">
        <f>INDEX(Output!$B$3:$P$17,MATCH('Defensive Summary'!Q$1,Output!$A$3:$A$17,0),MATCH('Defensive Summary'!$A39,Output!$B$2:$P$2,0))*INDEX(Output!$B$3:$P$17,MATCH('Defensive Summary'!Q$1,Output!$A$3:$A$17,0),MATCH('Defensive Summary'!$B39,Output!$B$2:$P$2,0))</f>
        <v>1</v>
      </c>
      <c r="R39" s="24"/>
      <c r="S39" s="25">
        <f t="shared" si="0"/>
        <v>6</v>
      </c>
      <c r="T39" s="22" t="s">
        <v>2</v>
      </c>
      <c r="U39" s="22" t="s">
        <v>13</v>
      </c>
      <c r="V39" s="24" cm="1">
        <f t="array" ref="V39">_xlfn.IFS(C39=1,0,C39=2,-1,C39=4,-2,C39=0.5,1,C39=0.25,2,C39=0,4)</f>
        <v>-1</v>
      </c>
      <c r="W39" s="24" cm="1">
        <f t="array" ref="W39">_xlfn.IFS(D39=1,0,D39=2,-1,D39=4,-2,D39=0.5,1,D39=0.25,2,D39=0,4)</f>
        <v>2</v>
      </c>
      <c r="X39" s="24" cm="1">
        <f t="array" ref="X39">_xlfn.IFS(E39=1,0,E39=2,-1,E39=4,-2,E39=0.5,1,E39=0.25,2,E39=0,4)</f>
        <v>1</v>
      </c>
      <c r="Y39" s="24" cm="1">
        <f t="array" ref="Y39">_xlfn.IFS(F39=1,0,F39=2,-1,F39=4,-2,F39=0.5,1,F39=0.25,2,F39=0,4)</f>
        <v>1</v>
      </c>
      <c r="Z39" s="24" cm="1">
        <f t="array" ref="Z39">_xlfn.IFS(G39=1,0,G39=2,-1,G39=4,-2,G39=0.5,1,G39=0.25,2,G39=0,4)</f>
        <v>0</v>
      </c>
      <c r="AA39" s="24" cm="1">
        <f t="array" ref="AA39">_xlfn.IFS(H39=1,0,H39=2,-1,H39=4,-2,H39=0.5,1,H39=0.25,2,H39=0,4)</f>
        <v>1</v>
      </c>
      <c r="AB39" s="24" cm="1">
        <f t="array" ref="AB39">_xlfn.IFS(I39=1,0,I39=2,-1,I39=4,-2,I39=0.5,1,I39=0.25,2,I39=0,4)</f>
        <v>0</v>
      </c>
      <c r="AC39" s="24" cm="1">
        <f t="array" ref="AC39">_xlfn.IFS(J39=1,0,J39=2,-1,J39=4,-2,J39=0.5,1,J39=0.25,2,J39=0,4)</f>
        <v>0</v>
      </c>
      <c r="AD39" s="24" cm="1">
        <f t="array" ref="AD39">_xlfn.IFS(K39=1,0,K39=2,-1,K39=4,-2,K39=0.5,1,K39=0.25,2,K39=0,4)</f>
        <v>0</v>
      </c>
      <c r="AE39" s="24" cm="1">
        <f t="array" ref="AE39">_xlfn.IFS(L39=1,0,L39=2,-1,L39=4,-2,L39=0.5,1,L39=0.25,2,L39=0,4)</f>
        <v>0</v>
      </c>
      <c r="AF39" s="24" cm="1">
        <f t="array" ref="AF39">_xlfn.IFS(M39=1,0,M39=2,-1,M39=4,-2,M39=0.5,1,M39=0.25,2,M39=0,4)</f>
        <v>1</v>
      </c>
      <c r="AG39" s="24" cm="1">
        <f t="array" ref="AG39">_xlfn.IFS(N39=1,0,N39=2,-1,N39=4,-2,N39=0.5,1,N39=0.25,2,N39=0,4)</f>
        <v>1</v>
      </c>
      <c r="AH39" s="24" cm="1">
        <f t="array" ref="AH39">_xlfn.IFS(O39=1,0,O39=2,-1,O39=4,-2,O39=0.5,1,O39=0.25,2,O39=0,4)</f>
        <v>-1</v>
      </c>
      <c r="AI39" s="24" cm="1">
        <f t="array" ref="AI39">_xlfn.IFS(P39=1,0,P39=2,-1,P39=4,-2,P39=0.5,1,P39=0.25,2,P39=0,4)</f>
        <v>1</v>
      </c>
      <c r="AJ39" s="24" cm="1">
        <f t="array" ref="AJ39">_xlfn.IFS(Q39=1,0,Q39=2,-1,Q39=4,-2,Q39=0.5,1,Q39=0.25,2,Q39=0,4)</f>
        <v>0</v>
      </c>
    </row>
    <row r="40" spans="1:36" x14ac:dyDescent="0.2">
      <c r="A40" s="22" t="s">
        <v>2</v>
      </c>
      <c r="B40" s="22" t="s">
        <v>14</v>
      </c>
      <c r="C40" s="24">
        <f>INDEX(Output!$B$3:$P$17,MATCH('Defensive Summary'!C$1,Output!$A$3:$A$17,0),MATCH('Defensive Summary'!$A40,Output!$B$2:$P$2,0))*INDEX(Output!$B$3:$P$17,MATCH('Defensive Summary'!C$1,Output!$A$3:$A$17,0),MATCH('Defensive Summary'!$B40,Output!$B$2:$P$2,0))</f>
        <v>2</v>
      </c>
      <c r="D40" s="24">
        <f>INDEX(Output!$B$3:$P$17,MATCH('Defensive Summary'!D$1,Output!$A$3:$A$17,0),MATCH('Defensive Summary'!$A40,Output!$B$2:$P$2,0))*INDEX(Output!$B$3:$P$17,MATCH('Defensive Summary'!D$1,Output!$A$3:$A$17,0),MATCH('Defensive Summary'!$B40,Output!$B$2:$P$2,0))</f>
        <v>0.5</v>
      </c>
      <c r="E40" s="24">
        <f>INDEX(Output!$B$3:$P$17,MATCH('Defensive Summary'!E$1,Output!$A$3:$A$17,0),MATCH('Defensive Summary'!$A40,Output!$B$2:$P$2,0))*INDEX(Output!$B$3:$P$17,MATCH('Defensive Summary'!E$1,Output!$A$3:$A$17,0),MATCH('Defensive Summary'!$B40,Output!$B$2:$P$2,0))</f>
        <v>0.5</v>
      </c>
      <c r="F40" s="24">
        <f>INDEX(Output!$B$3:$P$17,MATCH('Defensive Summary'!F$1,Output!$A$3:$A$17,0),MATCH('Defensive Summary'!$A40,Output!$B$2:$P$2,0))*INDEX(Output!$B$3:$P$17,MATCH('Defensive Summary'!F$1,Output!$A$3:$A$17,0),MATCH('Defensive Summary'!$B40,Output!$B$2:$P$2,0))</f>
        <v>0.5</v>
      </c>
      <c r="G40" s="24">
        <f>INDEX(Output!$B$3:$P$17,MATCH('Defensive Summary'!G$1,Output!$A$3:$A$17,0),MATCH('Defensive Summary'!$A40,Output!$B$2:$P$2,0))*INDEX(Output!$B$3:$P$17,MATCH('Defensive Summary'!G$1,Output!$A$3:$A$17,0),MATCH('Defensive Summary'!$B40,Output!$B$2:$P$2,0))</f>
        <v>1</v>
      </c>
      <c r="H40" s="24">
        <f>INDEX(Output!$B$3:$P$17,MATCH('Defensive Summary'!H$1,Output!$A$3:$A$17,0),MATCH('Defensive Summary'!$A40,Output!$B$2:$P$2,0))*INDEX(Output!$B$3:$P$17,MATCH('Defensive Summary'!H$1,Output!$A$3:$A$17,0),MATCH('Defensive Summary'!$B40,Output!$B$2:$P$2,0))</f>
        <v>1</v>
      </c>
      <c r="I40" s="24">
        <f>INDEX(Output!$B$3:$P$17,MATCH('Defensive Summary'!I$1,Output!$A$3:$A$17,0),MATCH('Defensive Summary'!$A40,Output!$B$2:$P$2,0))*INDEX(Output!$B$3:$P$17,MATCH('Defensive Summary'!I$1,Output!$A$3:$A$17,0),MATCH('Defensive Summary'!$B40,Output!$B$2:$P$2,0))</f>
        <v>2</v>
      </c>
      <c r="J40" s="24">
        <f>INDEX(Output!$B$3:$P$17,MATCH('Defensive Summary'!J$1,Output!$A$3:$A$17,0),MATCH('Defensive Summary'!$A40,Output!$B$2:$P$2,0))*INDEX(Output!$B$3:$P$17,MATCH('Defensive Summary'!J$1,Output!$A$3:$A$17,0),MATCH('Defensive Summary'!$B40,Output!$B$2:$P$2,0))</f>
        <v>1</v>
      </c>
      <c r="K40" s="24">
        <f>INDEX(Output!$B$3:$P$17,MATCH('Defensive Summary'!K$1,Output!$A$3:$A$17,0),MATCH('Defensive Summary'!$A40,Output!$B$2:$P$2,0))*INDEX(Output!$B$3:$P$17,MATCH('Defensive Summary'!K$1,Output!$A$3:$A$17,0),MATCH('Defensive Summary'!$B40,Output!$B$2:$P$2,0))</f>
        <v>0.5</v>
      </c>
      <c r="L40" s="24">
        <f>INDEX(Output!$B$3:$P$17,MATCH('Defensive Summary'!L$1,Output!$A$3:$A$17,0),MATCH('Defensive Summary'!$A40,Output!$B$2:$P$2,0))*INDEX(Output!$B$3:$P$17,MATCH('Defensive Summary'!L$1,Output!$A$3:$A$17,0),MATCH('Defensive Summary'!$B40,Output!$B$2:$P$2,0))</f>
        <v>1</v>
      </c>
      <c r="M40" s="24">
        <f>INDEX(Output!$B$3:$P$17,MATCH('Defensive Summary'!M$1,Output!$A$3:$A$17,0),MATCH('Defensive Summary'!$A40,Output!$B$2:$P$2,0))*INDEX(Output!$B$3:$P$17,MATCH('Defensive Summary'!M$1,Output!$A$3:$A$17,0),MATCH('Defensive Summary'!$B40,Output!$B$2:$P$2,0))</f>
        <v>1</v>
      </c>
      <c r="N40" s="24">
        <f>INDEX(Output!$B$3:$P$17,MATCH('Defensive Summary'!N$1,Output!$A$3:$A$17,0),MATCH('Defensive Summary'!$A40,Output!$B$2:$P$2,0))*INDEX(Output!$B$3:$P$17,MATCH('Defensive Summary'!N$1,Output!$A$3:$A$17,0),MATCH('Defensive Summary'!$B40,Output!$B$2:$P$2,0))</f>
        <v>1</v>
      </c>
      <c r="O40" s="24">
        <f>INDEX(Output!$B$3:$P$17,MATCH('Defensive Summary'!O$1,Output!$A$3:$A$17,0),MATCH('Defensive Summary'!$A40,Output!$B$2:$P$2,0))*INDEX(Output!$B$3:$P$17,MATCH('Defensive Summary'!O$1,Output!$A$3:$A$17,0),MATCH('Defensive Summary'!$B40,Output!$B$2:$P$2,0))</f>
        <v>1</v>
      </c>
      <c r="P40" s="24">
        <f>INDEX(Output!$B$3:$P$17,MATCH('Defensive Summary'!P$1,Output!$A$3:$A$17,0),MATCH('Defensive Summary'!$A40,Output!$B$2:$P$2,0))*INDEX(Output!$B$3:$P$17,MATCH('Defensive Summary'!P$1,Output!$A$3:$A$17,0),MATCH('Defensive Summary'!$B40,Output!$B$2:$P$2,0))</f>
        <v>1</v>
      </c>
      <c r="Q40" s="24">
        <f>INDEX(Output!$B$3:$P$17,MATCH('Defensive Summary'!Q$1,Output!$A$3:$A$17,0),MATCH('Defensive Summary'!$A40,Output!$B$2:$P$2,0))*INDEX(Output!$B$3:$P$17,MATCH('Defensive Summary'!Q$1,Output!$A$3:$A$17,0),MATCH('Defensive Summary'!$B40,Output!$B$2:$P$2,0))</f>
        <v>1</v>
      </c>
      <c r="R40" s="24"/>
      <c r="S40" s="25">
        <f t="shared" si="0"/>
        <v>2</v>
      </c>
      <c r="T40" s="22" t="s">
        <v>2</v>
      </c>
      <c r="U40" s="22" t="s">
        <v>14</v>
      </c>
      <c r="V40" s="24" cm="1">
        <f t="array" ref="V40">_xlfn.IFS(C40=1,0,C40=2,-1,C40=4,-2,C40=0.5,1,C40=0.25,2,C40=0,4)</f>
        <v>-1</v>
      </c>
      <c r="W40" s="24" cm="1">
        <f t="array" ref="W40">_xlfn.IFS(D40=1,0,D40=2,-1,D40=4,-2,D40=0.5,1,D40=0.25,2,D40=0,4)</f>
        <v>1</v>
      </c>
      <c r="X40" s="24" cm="1">
        <f t="array" ref="X40">_xlfn.IFS(E40=1,0,E40=2,-1,E40=4,-2,E40=0.5,1,E40=0.25,2,E40=0,4)</f>
        <v>1</v>
      </c>
      <c r="Y40" s="24" cm="1">
        <f t="array" ref="Y40">_xlfn.IFS(F40=1,0,F40=2,-1,F40=4,-2,F40=0.5,1,F40=0.25,2,F40=0,4)</f>
        <v>1</v>
      </c>
      <c r="Z40" s="24" cm="1">
        <f t="array" ref="Z40">_xlfn.IFS(G40=1,0,G40=2,-1,G40=4,-2,G40=0.5,1,G40=0.25,2,G40=0,4)</f>
        <v>0</v>
      </c>
      <c r="AA40" s="24" cm="1">
        <f t="array" ref="AA40">_xlfn.IFS(H40=1,0,H40=2,-1,H40=4,-2,H40=0.5,1,H40=0.25,2,H40=0,4)</f>
        <v>0</v>
      </c>
      <c r="AB40" s="24" cm="1">
        <f t="array" ref="AB40">_xlfn.IFS(I40=1,0,I40=2,-1,I40=4,-2,I40=0.5,1,I40=0.25,2,I40=0,4)</f>
        <v>-1</v>
      </c>
      <c r="AC40" s="24" cm="1">
        <f t="array" ref="AC40">_xlfn.IFS(J40=1,0,J40=2,-1,J40=4,-2,J40=0.5,1,J40=0.25,2,J40=0,4)</f>
        <v>0</v>
      </c>
      <c r="AD40" s="24" cm="1">
        <f t="array" ref="AD40">_xlfn.IFS(K40=1,0,K40=2,-1,K40=4,-2,K40=0.5,1,K40=0.25,2,K40=0,4)</f>
        <v>1</v>
      </c>
      <c r="AE40" s="24" cm="1">
        <f t="array" ref="AE40">_xlfn.IFS(L40=1,0,L40=2,-1,L40=4,-2,L40=0.5,1,L40=0.25,2,L40=0,4)</f>
        <v>0</v>
      </c>
      <c r="AF40" s="24" cm="1">
        <f t="array" ref="AF40">_xlfn.IFS(M40=1,0,M40=2,-1,M40=4,-2,M40=0.5,1,M40=0.25,2,M40=0,4)</f>
        <v>0</v>
      </c>
      <c r="AG40" s="24" cm="1">
        <f t="array" ref="AG40">_xlfn.IFS(N40=1,0,N40=2,-1,N40=4,-2,N40=0.5,1,N40=0.25,2,N40=0,4)</f>
        <v>0</v>
      </c>
      <c r="AH40" s="24" cm="1">
        <f t="array" ref="AH40">_xlfn.IFS(O40=1,0,O40=2,-1,O40=4,-2,O40=0.5,1,O40=0.25,2,O40=0,4)</f>
        <v>0</v>
      </c>
      <c r="AI40" s="24" cm="1">
        <f t="array" ref="AI40">_xlfn.IFS(P40=1,0,P40=2,-1,P40=4,-2,P40=0.5,1,P40=0.25,2,P40=0,4)</f>
        <v>0</v>
      </c>
      <c r="AJ40" s="24" cm="1">
        <f t="array" ref="AJ40">_xlfn.IFS(Q40=1,0,Q40=2,-1,Q40=4,-2,Q40=0.5,1,Q40=0.25,2,Q40=0,4)</f>
        <v>0</v>
      </c>
    </row>
    <row r="41" spans="1:36" x14ac:dyDescent="0.2">
      <c r="A41" s="22" t="s">
        <v>3</v>
      </c>
      <c r="B41" s="22" t="s">
        <v>4</v>
      </c>
      <c r="C41" s="24">
        <f>INDEX(Output!$B$3:$P$17,MATCH('Defensive Summary'!C$1,Output!$A$3:$A$17,0),MATCH('Defensive Summary'!$A41,Output!$B$2:$P$2,0))*INDEX(Output!$B$3:$P$17,MATCH('Defensive Summary'!C$1,Output!$A$3:$A$17,0),MATCH('Defensive Summary'!$B41,Output!$B$2:$P$2,0))</f>
        <v>1</v>
      </c>
      <c r="D41" s="24">
        <f>INDEX(Output!$B$3:$P$17,MATCH('Defensive Summary'!D$1,Output!$A$3:$A$17,0),MATCH('Defensive Summary'!$A41,Output!$B$2:$P$2,0))*INDEX(Output!$B$3:$P$17,MATCH('Defensive Summary'!D$1,Output!$A$3:$A$17,0),MATCH('Defensive Summary'!$B41,Output!$B$2:$P$2,0))</f>
        <v>2</v>
      </c>
      <c r="E41" s="24">
        <f>INDEX(Output!$B$3:$P$17,MATCH('Defensive Summary'!E$1,Output!$A$3:$A$17,0),MATCH('Defensive Summary'!$A41,Output!$B$2:$P$2,0))*INDEX(Output!$B$3:$P$17,MATCH('Defensive Summary'!E$1,Output!$A$3:$A$17,0),MATCH('Defensive Summary'!$B41,Output!$B$2:$P$2,0))</f>
        <v>1</v>
      </c>
      <c r="F41" s="24">
        <f>INDEX(Output!$B$3:$P$17,MATCH('Defensive Summary'!F$1,Output!$A$3:$A$17,0),MATCH('Defensive Summary'!$A41,Output!$B$2:$P$2,0))*INDEX(Output!$B$3:$P$17,MATCH('Defensive Summary'!F$1,Output!$A$3:$A$17,0),MATCH('Defensive Summary'!$B41,Output!$B$2:$P$2,0))</f>
        <v>0</v>
      </c>
      <c r="G41" s="24">
        <f>INDEX(Output!$B$3:$P$17,MATCH('Defensive Summary'!G$1,Output!$A$3:$A$17,0),MATCH('Defensive Summary'!$A41,Output!$B$2:$P$2,0))*INDEX(Output!$B$3:$P$17,MATCH('Defensive Summary'!G$1,Output!$A$3:$A$17,0),MATCH('Defensive Summary'!$B41,Output!$B$2:$P$2,0))</f>
        <v>0</v>
      </c>
      <c r="H41" s="24">
        <f>INDEX(Output!$B$3:$P$17,MATCH('Defensive Summary'!H$1,Output!$A$3:$A$17,0),MATCH('Defensive Summary'!$A41,Output!$B$2:$P$2,0))*INDEX(Output!$B$3:$P$17,MATCH('Defensive Summary'!H$1,Output!$A$3:$A$17,0),MATCH('Defensive Summary'!$B41,Output!$B$2:$P$2,0))</f>
        <v>0</v>
      </c>
      <c r="I41" s="24">
        <f>INDEX(Output!$B$3:$P$17,MATCH('Defensive Summary'!I$1,Output!$A$3:$A$17,0),MATCH('Defensive Summary'!$A41,Output!$B$2:$P$2,0))*INDEX(Output!$B$3:$P$17,MATCH('Defensive Summary'!I$1,Output!$A$3:$A$17,0),MATCH('Defensive Summary'!$B41,Output!$B$2:$P$2,0))</f>
        <v>1</v>
      </c>
      <c r="J41" s="24">
        <f>INDEX(Output!$B$3:$P$17,MATCH('Defensive Summary'!J$1,Output!$A$3:$A$17,0),MATCH('Defensive Summary'!$A41,Output!$B$2:$P$2,0))*INDEX(Output!$B$3:$P$17,MATCH('Defensive Summary'!J$1,Output!$A$3:$A$17,0),MATCH('Defensive Summary'!$B41,Output!$B$2:$P$2,0))</f>
        <v>1</v>
      </c>
      <c r="K41" s="24">
        <f>INDEX(Output!$B$3:$P$17,MATCH('Defensive Summary'!K$1,Output!$A$3:$A$17,0),MATCH('Defensive Summary'!$A41,Output!$B$2:$P$2,0))*INDEX(Output!$B$3:$P$17,MATCH('Defensive Summary'!K$1,Output!$A$3:$A$17,0),MATCH('Defensive Summary'!$B41,Output!$B$2:$P$2,0))</f>
        <v>0.5</v>
      </c>
      <c r="L41" s="24">
        <f>INDEX(Output!$B$3:$P$17,MATCH('Defensive Summary'!L$1,Output!$A$3:$A$17,0),MATCH('Defensive Summary'!$A41,Output!$B$2:$P$2,0))*INDEX(Output!$B$3:$P$17,MATCH('Defensive Summary'!L$1,Output!$A$3:$A$17,0),MATCH('Defensive Summary'!$B41,Output!$B$2:$P$2,0))</f>
        <v>0.5</v>
      </c>
      <c r="M41" s="24">
        <f>INDEX(Output!$B$3:$P$17,MATCH('Defensive Summary'!M$1,Output!$A$3:$A$17,0),MATCH('Defensive Summary'!$A41,Output!$B$2:$P$2,0))*INDEX(Output!$B$3:$P$17,MATCH('Defensive Summary'!M$1,Output!$A$3:$A$17,0),MATCH('Defensive Summary'!$B41,Output!$B$2:$P$2,0))</f>
        <v>2</v>
      </c>
      <c r="N41" s="24">
        <f>INDEX(Output!$B$3:$P$17,MATCH('Defensive Summary'!N$1,Output!$A$3:$A$17,0),MATCH('Defensive Summary'!$A41,Output!$B$2:$P$2,0))*INDEX(Output!$B$3:$P$17,MATCH('Defensive Summary'!N$1,Output!$A$3:$A$17,0),MATCH('Defensive Summary'!$B41,Output!$B$2:$P$2,0))</f>
        <v>2</v>
      </c>
      <c r="O41" s="24">
        <f>INDEX(Output!$B$3:$P$17,MATCH('Defensive Summary'!O$1,Output!$A$3:$A$17,0),MATCH('Defensive Summary'!$A41,Output!$B$2:$P$2,0))*INDEX(Output!$B$3:$P$17,MATCH('Defensive Summary'!O$1,Output!$A$3:$A$17,0),MATCH('Defensive Summary'!$B41,Output!$B$2:$P$2,0))</f>
        <v>1</v>
      </c>
      <c r="P41" s="24">
        <f>INDEX(Output!$B$3:$P$17,MATCH('Defensive Summary'!P$1,Output!$A$3:$A$17,0),MATCH('Defensive Summary'!$A41,Output!$B$2:$P$2,0))*INDEX(Output!$B$3:$P$17,MATCH('Defensive Summary'!P$1,Output!$A$3:$A$17,0),MATCH('Defensive Summary'!$B41,Output!$B$2:$P$2,0))</f>
        <v>2</v>
      </c>
      <c r="Q41" s="24">
        <f>INDEX(Output!$B$3:$P$17,MATCH('Defensive Summary'!Q$1,Output!$A$3:$A$17,0),MATCH('Defensive Summary'!$A41,Output!$B$2:$P$2,0))*INDEX(Output!$B$3:$P$17,MATCH('Defensive Summary'!Q$1,Output!$A$3:$A$17,0),MATCH('Defensive Summary'!$B41,Output!$B$2:$P$2,0))</f>
        <v>1</v>
      </c>
      <c r="R41" s="24"/>
      <c r="S41" s="25">
        <f t="shared" si="0"/>
        <v>10</v>
      </c>
      <c r="T41" s="22" t="s">
        <v>3</v>
      </c>
      <c r="U41" s="22" t="s">
        <v>4</v>
      </c>
      <c r="V41" s="24" cm="1">
        <f t="array" ref="V41">_xlfn.IFS(C41=1,0,C41=2,-1,C41=4,-2,C41=0.5,1,C41=0.25,2,C41=0,4)</f>
        <v>0</v>
      </c>
      <c r="W41" s="24" cm="1">
        <f t="array" ref="W41">_xlfn.IFS(D41=1,0,D41=2,-1,D41=4,-2,D41=0.5,1,D41=0.25,2,D41=0,4)</f>
        <v>-1</v>
      </c>
      <c r="X41" s="24" cm="1">
        <f t="array" ref="X41">_xlfn.IFS(E41=1,0,E41=2,-1,E41=4,-2,E41=0.5,1,E41=0.25,2,E41=0,4)</f>
        <v>0</v>
      </c>
      <c r="Y41" s="24" cm="1">
        <f t="array" ref="Y41">_xlfn.IFS(F41=1,0,F41=2,-1,F41=4,-2,F41=0.5,1,F41=0.25,2,F41=0,4)</f>
        <v>4</v>
      </c>
      <c r="Z41" s="24" cm="1">
        <f t="array" ref="Z41">_xlfn.IFS(G41=1,0,G41=2,-1,G41=4,-2,G41=0.5,1,G41=0.25,2,G41=0,4)</f>
        <v>4</v>
      </c>
      <c r="AA41" s="24" cm="1">
        <f t="array" ref="AA41">_xlfn.IFS(H41=1,0,H41=2,-1,H41=4,-2,H41=0.5,1,H41=0.25,2,H41=0,4)</f>
        <v>4</v>
      </c>
      <c r="AB41" s="24" cm="1">
        <f t="array" ref="AB41">_xlfn.IFS(I41=1,0,I41=2,-1,I41=4,-2,I41=0.5,1,I41=0.25,2,I41=0,4)</f>
        <v>0</v>
      </c>
      <c r="AC41" s="24" cm="1">
        <f t="array" ref="AC41">_xlfn.IFS(J41=1,0,J41=2,-1,J41=4,-2,J41=0.5,1,J41=0.25,2,J41=0,4)</f>
        <v>0</v>
      </c>
      <c r="AD41" s="24" cm="1">
        <f t="array" ref="AD41">_xlfn.IFS(K41=1,0,K41=2,-1,K41=4,-2,K41=0.5,1,K41=0.25,2,K41=0,4)</f>
        <v>1</v>
      </c>
      <c r="AE41" s="24" cm="1">
        <f t="array" ref="AE41">_xlfn.IFS(L41=1,0,L41=2,-1,L41=4,-2,L41=0.5,1,L41=0.25,2,L41=0,4)</f>
        <v>1</v>
      </c>
      <c r="AF41" s="24" cm="1">
        <f t="array" ref="AF41">_xlfn.IFS(M41=1,0,M41=2,-1,M41=4,-2,M41=0.5,1,M41=0.25,2,M41=0,4)</f>
        <v>-1</v>
      </c>
      <c r="AG41" s="24" cm="1">
        <f t="array" ref="AG41">_xlfn.IFS(N41=1,0,N41=2,-1,N41=4,-2,N41=0.5,1,N41=0.25,2,N41=0,4)</f>
        <v>-1</v>
      </c>
      <c r="AH41" s="24" cm="1">
        <f t="array" ref="AH41">_xlfn.IFS(O41=1,0,O41=2,-1,O41=4,-2,O41=0.5,1,O41=0.25,2,O41=0,4)</f>
        <v>0</v>
      </c>
      <c r="AI41" s="24" cm="1">
        <f t="array" ref="AI41">_xlfn.IFS(P41=1,0,P41=2,-1,P41=4,-2,P41=0.5,1,P41=0.25,2,P41=0,4)</f>
        <v>-1</v>
      </c>
      <c r="AJ41" s="24" cm="1">
        <f t="array" ref="AJ41">_xlfn.IFS(Q41=1,0,Q41=2,-1,Q41=4,-2,Q41=0.5,1,Q41=0.25,2,Q41=0,4)</f>
        <v>0</v>
      </c>
    </row>
    <row r="42" spans="1:36" x14ac:dyDescent="0.2">
      <c r="A42" s="22" t="s">
        <v>3</v>
      </c>
      <c r="B42" s="22" t="s">
        <v>96</v>
      </c>
      <c r="C42" s="24">
        <f>INDEX(Output!$B$3:$P$17,MATCH('Defensive Summary'!C$1,Output!$A$3:$A$17,0),MATCH('Defensive Summary'!$A42,Output!$B$2:$P$2,0))*INDEX(Output!$B$3:$P$17,MATCH('Defensive Summary'!C$1,Output!$A$3:$A$17,0),MATCH('Defensive Summary'!$B42,Output!$B$2:$P$2,0))</f>
        <v>2</v>
      </c>
      <c r="D42" s="24">
        <f>INDEX(Output!$B$3:$P$17,MATCH('Defensive Summary'!D$1,Output!$A$3:$A$17,0),MATCH('Defensive Summary'!$A42,Output!$B$2:$P$2,0))*INDEX(Output!$B$3:$P$17,MATCH('Defensive Summary'!D$1,Output!$A$3:$A$17,0),MATCH('Defensive Summary'!$B42,Output!$B$2:$P$2,0))</f>
        <v>2</v>
      </c>
      <c r="E42" s="24">
        <f>INDEX(Output!$B$3:$P$17,MATCH('Defensive Summary'!E$1,Output!$A$3:$A$17,0),MATCH('Defensive Summary'!$A42,Output!$B$2:$P$2,0))*INDEX(Output!$B$3:$P$17,MATCH('Defensive Summary'!E$1,Output!$A$3:$A$17,0),MATCH('Defensive Summary'!$B42,Output!$B$2:$P$2,0))</f>
        <v>2</v>
      </c>
      <c r="F42" s="24">
        <f>INDEX(Output!$B$3:$P$17,MATCH('Defensive Summary'!F$1,Output!$A$3:$A$17,0),MATCH('Defensive Summary'!$A42,Output!$B$2:$P$2,0))*INDEX(Output!$B$3:$P$17,MATCH('Defensive Summary'!F$1,Output!$A$3:$A$17,0),MATCH('Defensive Summary'!$B42,Output!$B$2:$P$2,0))</f>
        <v>1</v>
      </c>
      <c r="G42" s="24">
        <f>INDEX(Output!$B$3:$P$17,MATCH('Defensive Summary'!G$1,Output!$A$3:$A$17,0),MATCH('Defensive Summary'!$A42,Output!$B$2:$P$2,0))*INDEX(Output!$B$3:$P$17,MATCH('Defensive Summary'!G$1,Output!$A$3:$A$17,0),MATCH('Defensive Summary'!$B42,Output!$B$2:$P$2,0))</f>
        <v>0</v>
      </c>
      <c r="H42" s="24">
        <f>INDEX(Output!$B$3:$P$17,MATCH('Defensive Summary'!H$1,Output!$A$3:$A$17,0),MATCH('Defensive Summary'!$A42,Output!$B$2:$P$2,0))*INDEX(Output!$B$3:$P$17,MATCH('Defensive Summary'!H$1,Output!$A$3:$A$17,0),MATCH('Defensive Summary'!$B42,Output!$B$2:$P$2,0))</f>
        <v>0</v>
      </c>
      <c r="I42" s="24">
        <f>INDEX(Output!$B$3:$P$17,MATCH('Defensive Summary'!I$1,Output!$A$3:$A$17,0),MATCH('Defensive Summary'!$A42,Output!$B$2:$P$2,0))*INDEX(Output!$B$3:$P$17,MATCH('Defensive Summary'!I$1,Output!$A$3:$A$17,0),MATCH('Defensive Summary'!$B42,Output!$B$2:$P$2,0))</f>
        <v>0.25</v>
      </c>
      <c r="J42" s="24">
        <f>INDEX(Output!$B$3:$P$17,MATCH('Defensive Summary'!J$1,Output!$A$3:$A$17,0),MATCH('Defensive Summary'!$A42,Output!$B$2:$P$2,0))*INDEX(Output!$B$3:$P$17,MATCH('Defensive Summary'!J$1,Output!$A$3:$A$17,0),MATCH('Defensive Summary'!$B42,Output!$B$2:$P$2,0))</f>
        <v>1</v>
      </c>
      <c r="K42" s="24">
        <f>INDEX(Output!$B$3:$P$17,MATCH('Defensive Summary'!K$1,Output!$A$3:$A$17,0),MATCH('Defensive Summary'!$A42,Output!$B$2:$P$2,0))*INDEX(Output!$B$3:$P$17,MATCH('Defensive Summary'!K$1,Output!$A$3:$A$17,0),MATCH('Defensive Summary'!$B42,Output!$B$2:$P$2,0))</f>
        <v>0.25</v>
      </c>
      <c r="L42" s="24">
        <f>INDEX(Output!$B$3:$P$17,MATCH('Defensive Summary'!L$1,Output!$A$3:$A$17,0),MATCH('Defensive Summary'!$A42,Output!$B$2:$P$2,0))*INDEX(Output!$B$3:$P$17,MATCH('Defensive Summary'!L$1,Output!$A$3:$A$17,0),MATCH('Defensive Summary'!$B42,Output!$B$2:$P$2,0))</f>
        <v>1</v>
      </c>
      <c r="M42" s="24">
        <f>INDEX(Output!$B$3:$P$17,MATCH('Defensive Summary'!M$1,Output!$A$3:$A$17,0),MATCH('Defensive Summary'!$A42,Output!$B$2:$P$2,0))*INDEX(Output!$B$3:$P$17,MATCH('Defensive Summary'!M$1,Output!$A$3:$A$17,0),MATCH('Defensive Summary'!$B42,Output!$B$2:$P$2,0))</f>
        <v>0.5</v>
      </c>
      <c r="N42" s="24">
        <f>INDEX(Output!$B$3:$P$17,MATCH('Defensive Summary'!N$1,Output!$A$3:$A$17,0),MATCH('Defensive Summary'!$A42,Output!$B$2:$P$2,0))*INDEX(Output!$B$3:$P$17,MATCH('Defensive Summary'!N$1,Output!$A$3:$A$17,0),MATCH('Defensive Summary'!$B42,Output!$B$2:$P$2,0))</f>
        <v>1</v>
      </c>
      <c r="O42" s="24">
        <f>INDEX(Output!$B$3:$P$17,MATCH('Defensive Summary'!O$1,Output!$A$3:$A$17,0),MATCH('Defensive Summary'!$A42,Output!$B$2:$P$2,0))*INDEX(Output!$B$3:$P$17,MATCH('Defensive Summary'!O$1,Output!$A$3:$A$17,0),MATCH('Defensive Summary'!$B42,Output!$B$2:$P$2,0))</f>
        <v>1</v>
      </c>
      <c r="P42" s="24">
        <f>INDEX(Output!$B$3:$P$17,MATCH('Defensive Summary'!P$1,Output!$A$3:$A$17,0),MATCH('Defensive Summary'!$A42,Output!$B$2:$P$2,0))*INDEX(Output!$B$3:$P$17,MATCH('Defensive Summary'!P$1,Output!$A$3:$A$17,0),MATCH('Defensive Summary'!$B42,Output!$B$2:$P$2,0))</f>
        <v>1</v>
      </c>
      <c r="Q42" s="24">
        <f>INDEX(Output!$B$3:$P$17,MATCH('Defensive Summary'!Q$1,Output!$A$3:$A$17,0),MATCH('Defensive Summary'!$A42,Output!$B$2:$P$2,0))*INDEX(Output!$B$3:$P$17,MATCH('Defensive Summary'!Q$1,Output!$A$3:$A$17,0),MATCH('Defensive Summary'!$B42,Output!$B$2:$P$2,0))</f>
        <v>1</v>
      </c>
      <c r="R42" s="24"/>
      <c r="S42" s="25">
        <f t="shared" si="0"/>
        <v>10</v>
      </c>
      <c r="T42" s="22" t="s">
        <v>3</v>
      </c>
      <c r="U42" s="22" t="s">
        <v>96</v>
      </c>
      <c r="V42" s="24" cm="1">
        <f t="array" ref="V42">_xlfn.IFS(C42=1,0,C42=2,-1,C42=4,-2,C42=0.5,1,C42=0.25,2,C42=0,4)</f>
        <v>-1</v>
      </c>
      <c r="W42" s="24" cm="1">
        <f t="array" ref="W42">_xlfn.IFS(D42=1,0,D42=2,-1,D42=4,-2,D42=0.5,1,D42=0.25,2,D42=0,4)</f>
        <v>-1</v>
      </c>
      <c r="X42" s="24" cm="1">
        <f t="array" ref="X42">_xlfn.IFS(E42=1,0,E42=2,-1,E42=4,-2,E42=0.5,1,E42=0.25,2,E42=0,4)</f>
        <v>-1</v>
      </c>
      <c r="Y42" s="24" cm="1">
        <f t="array" ref="Y42">_xlfn.IFS(F42=1,0,F42=2,-1,F42=4,-2,F42=0.5,1,F42=0.25,2,F42=0,4)</f>
        <v>0</v>
      </c>
      <c r="Z42" s="24" cm="1">
        <f t="array" ref="Z42">_xlfn.IFS(G42=1,0,G42=2,-1,G42=4,-2,G42=0.5,1,G42=0.25,2,G42=0,4)</f>
        <v>4</v>
      </c>
      <c r="AA42" s="24" cm="1">
        <f t="array" ref="AA42">_xlfn.IFS(H42=1,0,H42=2,-1,H42=4,-2,H42=0.5,1,H42=0.25,2,H42=0,4)</f>
        <v>4</v>
      </c>
      <c r="AB42" s="24" cm="1">
        <f t="array" ref="AB42">_xlfn.IFS(I42=1,0,I42=2,-1,I42=4,-2,I42=0.5,1,I42=0.25,2,I42=0,4)</f>
        <v>2</v>
      </c>
      <c r="AC42" s="24" cm="1">
        <f t="array" ref="AC42">_xlfn.IFS(J42=1,0,J42=2,-1,J42=4,-2,J42=0.5,1,J42=0.25,2,J42=0,4)</f>
        <v>0</v>
      </c>
      <c r="AD42" s="24" cm="1">
        <f t="array" ref="AD42">_xlfn.IFS(K42=1,0,K42=2,-1,K42=4,-2,K42=0.5,1,K42=0.25,2,K42=0,4)</f>
        <v>2</v>
      </c>
      <c r="AE42" s="24" cm="1">
        <f t="array" ref="AE42">_xlfn.IFS(L42=1,0,L42=2,-1,L42=4,-2,L42=0.5,1,L42=0.25,2,L42=0,4)</f>
        <v>0</v>
      </c>
      <c r="AF42" s="24" cm="1">
        <f t="array" ref="AF42">_xlfn.IFS(M42=1,0,M42=2,-1,M42=4,-2,M42=0.5,1,M42=0.25,2,M42=0,4)</f>
        <v>1</v>
      </c>
      <c r="AG42" s="24" cm="1">
        <f t="array" ref="AG42">_xlfn.IFS(N42=1,0,N42=2,-1,N42=4,-2,N42=0.5,1,N42=0.25,2,N42=0,4)</f>
        <v>0</v>
      </c>
      <c r="AH42" s="24" cm="1">
        <f t="array" ref="AH42">_xlfn.IFS(O42=1,0,O42=2,-1,O42=4,-2,O42=0.5,1,O42=0.25,2,O42=0,4)</f>
        <v>0</v>
      </c>
      <c r="AI42" s="24" cm="1">
        <f t="array" ref="AI42">_xlfn.IFS(P42=1,0,P42=2,-1,P42=4,-2,P42=0.5,1,P42=0.25,2,P42=0,4)</f>
        <v>0</v>
      </c>
      <c r="AJ42" s="24" cm="1">
        <f t="array" ref="AJ42">_xlfn.IFS(Q42=1,0,Q42=2,-1,Q42=4,-2,Q42=0.5,1,Q42=0.25,2,Q42=0,4)</f>
        <v>0</v>
      </c>
    </row>
    <row r="43" spans="1:36" x14ac:dyDescent="0.2">
      <c r="A43" s="22" t="s">
        <v>3</v>
      </c>
      <c r="B43" s="22" t="s">
        <v>6</v>
      </c>
      <c r="C43" s="24">
        <f>INDEX(Output!$B$3:$P$17,MATCH('Defensive Summary'!C$1,Output!$A$3:$A$17,0),MATCH('Defensive Summary'!$A43,Output!$B$2:$P$2,0))*INDEX(Output!$B$3:$P$17,MATCH('Defensive Summary'!C$1,Output!$A$3:$A$17,0),MATCH('Defensive Summary'!$B43,Output!$B$2:$P$2,0))</f>
        <v>4</v>
      </c>
      <c r="D43" s="24">
        <f>INDEX(Output!$B$3:$P$17,MATCH('Defensive Summary'!D$1,Output!$A$3:$A$17,0),MATCH('Defensive Summary'!$A43,Output!$B$2:$P$2,0))*INDEX(Output!$B$3:$P$17,MATCH('Defensive Summary'!D$1,Output!$A$3:$A$17,0),MATCH('Defensive Summary'!$B43,Output!$B$2:$P$2,0))</f>
        <v>1</v>
      </c>
      <c r="E43" s="24">
        <f>INDEX(Output!$B$3:$P$17,MATCH('Defensive Summary'!E$1,Output!$A$3:$A$17,0),MATCH('Defensive Summary'!$A43,Output!$B$2:$P$2,0))*INDEX(Output!$B$3:$P$17,MATCH('Defensive Summary'!E$1,Output!$A$3:$A$17,0),MATCH('Defensive Summary'!$B43,Output!$B$2:$P$2,0))</f>
        <v>1</v>
      </c>
      <c r="F43" s="24">
        <f>INDEX(Output!$B$3:$P$17,MATCH('Defensive Summary'!F$1,Output!$A$3:$A$17,0),MATCH('Defensive Summary'!$A43,Output!$B$2:$P$2,0))*INDEX(Output!$B$3:$P$17,MATCH('Defensive Summary'!F$1,Output!$A$3:$A$17,0),MATCH('Defensive Summary'!$B43,Output!$B$2:$P$2,0))</f>
        <v>0.25</v>
      </c>
      <c r="G43" s="24">
        <f>INDEX(Output!$B$3:$P$17,MATCH('Defensive Summary'!G$1,Output!$A$3:$A$17,0),MATCH('Defensive Summary'!$A43,Output!$B$2:$P$2,0))*INDEX(Output!$B$3:$P$17,MATCH('Defensive Summary'!G$1,Output!$A$3:$A$17,0),MATCH('Defensive Summary'!$B43,Output!$B$2:$P$2,0))</f>
        <v>0</v>
      </c>
      <c r="H43" s="24">
        <f>INDEX(Output!$B$3:$P$17,MATCH('Defensive Summary'!H$1,Output!$A$3:$A$17,0),MATCH('Defensive Summary'!$A43,Output!$B$2:$P$2,0))*INDEX(Output!$B$3:$P$17,MATCH('Defensive Summary'!H$1,Output!$A$3:$A$17,0),MATCH('Defensive Summary'!$B43,Output!$B$2:$P$2,0))</f>
        <v>0</v>
      </c>
      <c r="I43" s="24">
        <f>INDEX(Output!$B$3:$P$17,MATCH('Defensive Summary'!I$1,Output!$A$3:$A$17,0),MATCH('Defensive Summary'!$A43,Output!$B$2:$P$2,0))*INDEX(Output!$B$3:$P$17,MATCH('Defensive Summary'!I$1,Output!$A$3:$A$17,0),MATCH('Defensive Summary'!$B43,Output!$B$2:$P$2,0))</f>
        <v>0.25</v>
      </c>
      <c r="J43" s="24">
        <f>INDEX(Output!$B$3:$P$17,MATCH('Defensive Summary'!J$1,Output!$A$3:$A$17,0),MATCH('Defensive Summary'!$A43,Output!$B$2:$P$2,0))*INDEX(Output!$B$3:$P$17,MATCH('Defensive Summary'!J$1,Output!$A$3:$A$17,0),MATCH('Defensive Summary'!$B43,Output!$B$2:$P$2,0))</f>
        <v>0.5</v>
      </c>
      <c r="K43" s="24">
        <f>INDEX(Output!$B$3:$P$17,MATCH('Defensive Summary'!K$1,Output!$A$3:$A$17,0),MATCH('Defensive Summary'!$A43,Output!$B$2:$P$2,0))*INDEX(Output!$B$3:$P$17,MATCH('Defensive Summary'!K$1,Output!$A$3:$A$17,0),MATCH('Defensive Summary'!$B43,Output!$B$2:$P$2,0))</f>
        <v>0.5</v>
      </c>
      <c r="L43" s="24">
        <f>INDEX(Output!$B$3:$P$17,MATCH('Defensive Summary'!L$1,Output!$A$3:$A$17,0),MATCH('Defensive Summary'!$A43,Output!$B$2:$P$2,0))*INDEX(Output!$B$3:$P$17,MATCH('Defensive Summary'!L$1,Output!$A$3:$A$17,0),MATCH('Defensive Summary'!$B43,Output!$B$2:$P$2,0))</f>
        <v>0.5</v>
      </c>
      <c r="M43" s="24">
        <f>INDEX(Output!$B$3:$P$17,MATCH('Defensive Summary'!M$1,Output!$A$3:$A$17,0),MATCH('Defensive Summary'!$A43,Output!$B$2:$P$2,0))*INDEX(Output!$B$3:$P$17,MATCH('Defensive Summary'!M$1,Output!$A$3:$A$17,0),MATCH('Defensive Summary'!$B43,Output!$B$2:$P$2,0))</f>
        <v>0.5</v>
      </c>
      <c r="N43" s="24">
        <f>INDEX(Output!$B$3:$P$17,MATCH('Defensive Summary'!N$1,Output!$A$3:$A$17,0),MATCH('Defensive Summary'!$A43,Output!$B$2:$P$2,0))*INDEX(Output!$B$3:$P$17,MATCH('Defensive Summary'!N$1,Output!$A$3:$A$17,0),MATCH('Defensive Summary'!$B43,Output!$B$2:$P$2,0))</f>
        <v>1</v>
      </c>
      <c r="O43" s="24">
        <f>INDEX(Output!$B$3:$P$17,MATCH('Defensive Summary'!O$1,Output!$A$3:$A$17,0),MATCH('Defensive Summary'!$A43,Output!$B$2:$P$2,0))*INDEX(Output!$B$3:$P$17,MATCH('Defensive Summary'!O$1,Output!$A$3:$A$17,0),MATCH('Defensive Summary'!$B43,Output!$B$2:$P$2,0))</f>
        <v>1</v>
      </c>
      <c r="P43" s="24">
        <f>INDEX(Output!$B$3:$P$17,MATCH('Defensive Summary'!P$1,Output!$A$3:$A$17,0),MATCH('Defensive Summary'!$A43,Output!$B$2:$P$2,0))*INDEX(Output!$B$3:$P$17,MATCH('Defensive Summary'!P$1,Output!$A$3:$A$17,0),MATCH('Defensive Summary'!$B43,Output!$B$2:$P$2,0))</f>
        <v>0.5</v>
      </c>
      <c r="Q43" s="24">
        <f>INDEX(Output!$B$3:$P$17,MATCH('Defensive Summary'!Q$1,Output!$A$3:$A$17,0),MATCH('Defensive Summary'!$A43,Output!$B$2:$P$2,0))*INDEX(Output!$B$3:$P$17,MATCH('Defensive Summary'!Q$1,Output!$A$3:$A$17,0),MATCH('Defensive Summary'!$B43,Output!$B$2:$P$2,0))</f>
        <v>1</v>
      </c>
      <c r="R43" s="24"/>
      <c r="S43" s="25">
        <f t="shared" si="0"/>
        <v>15</v>
      </c>
      <c r="T43" s="22" t="s">
        <v>3</v>
      </c>
      <c r="U43" s="22" t="s">
        <v>6</v>
      </c>
      <c r="V43" s="24" cm="1">
        <f t="array" ref="V43">_xlfn.IFS(C43=1,0,C43=2,-1,C43=4,-2,C43=0.5,1,C43=0.25,2,C43=0,4)</f>
        <v>-2</v>
      </c>
      <c r="W43" s="24" cm="1">
        <f t="array" ref="W43">_xlfn.IFS(D43=1,0,D43=2,-1,D43=4,-2,D43=0.5,1,D43=0.25,2,D43=0,4)</f>
        <v>0</v>
      </c>
      <c r="X43" s="24" cm="1">
        <f t="array" ref="X43">_xlfn.IFS(E43=1,0,E43=2,-1,E43=4,-2,E43=0.5,1,E43=0.25,2,E43=0,4)</f>
        <v>0</v>
      </c>
      <c r="Y43" s="24" cm="1">
        <f t="array" ref="Y43">_xlfn.IFS(F43=1,0,F43=2,-1,F43=4,-2,F43=0.5,1,F43=0.25,2,F43=0,4)</f>
        <v>2</v>
      </c>
      <c r="Z43" s="24" cm="1">
        <f t="array" ref="Z43">_xlfn.IFS(G43=1,0,G43=2,-1,G43=4,-2,G43=0.5,1,G43=0.25,2,G43=0,4)</f>
        <v>4</v>
      </c>
      <c r="AA43" s="24" cm="1">
        <f t="array" ref="AA43">_xlfn.IFS(H43=1,0,H43=2,-1,H43=4,-2,H43=0.5,1,H43=0.25,2,H43=0,4)</f>
        <v>4</v>
      </c>
      <c r="AB43" s="24" cm="1">
        <f t="array" ref="AB43">_xlfn.IFS(I43=1,0,I43=2,-1,I43=4,-2,I43=0.5,1,I43=0.25,2,I43=0,4)</f>
        <v>2</v>
      </c>
      <c r="AC43" s="24" cm="1">
        <f t="array" ref="AC43">_xlfn.IFS(J43=1,0,J43=2,-1,J43=4,-2,J43=0.5,1,J43=0.25,2,J43=0,4)</f>
        <v>1</v>
      </c>
      <c r="AD43" s="24" cm="1">
        <f t="array" ref="AD43">_xlfn.IFS(K43=1,0,K43=2,-1,K43=4,-2,K43=0.5,1,K43=0.25,2,K43=0,4)</f>
        <v>1</v>
      </c>
      <c r="AE43" s="24" cm="1">
        <f t="array" ref="AE43">_xlfn.IFS(L43=1,0,L43=2,-1,L43=4,-2,L43=0.5,1,L43=0.25,2,L43=0,4)</f>
        <v>1</v>
      </c>
      <c r="AF43" s="24" cm="1">
        <f t="array" ref="AF43">_xlfn.IFS(M43=1,0,M43=2,-1,M43=4,-2,M43=0.5,1,M43=0.25,2,M43=0,4)</f>
        <v>1</v>
      </c>
      <c r="AG43" s="24" cm="1">
        <f t="array" ref="AG43">_xlfn.IFS(N43=1,0,N43=2,-1,N43=4,-2,N43=0.5,1,N43=0.25,2,N43=0,4)</f>
        <v>0</v>
      </c>
      <c r="AH43" s="24" cm="1">
        <f t="array" ref="AH43">_xlfn.IFS(O43=1,0,O43=2,-1,O43=4,-2,O43=0.5,1,O43=0.25,2,O43=0,4)</f>
        <v>0</v>
      </c>
      <c r="AI43" s="24" cm="1">
        <f t="array" ref="AI43">_xlfn.IFS(P43=1,0,P43=2,-1,P43=4,-2,P43=0.5,1,P43=0.25,2,P43=0,4)</f>
        <v>1</v>
      </c>
      <c r="AJ43" s="24" cm="1">
        <f t="array" ref="AJ43">_xlfn.IFS(Q43=1,0,Q43=2,-1,Q43=4,-2,Q43=0.5,1,Q43=0.25,2,Q43=0,4)</f>
        <v>0</v>
      </c>
    </row>
    <row r="44" spans="1:36" x14ac:dyDescent="0.2">
      <c r="A44" s="22" t="s">
        <v>3</v>
      </c>
      <c r="B44" s="22" t="s">
        <v>7</v>
      </c>
      <c r="C44" s="24">
        <f>INDEX(Output!$B$3:$P$17,MATCH('Defensive Summary'!C$1,Output!$A$3:$A$17,0),MATCH('Defensive Summary'!$A44,Output!$B$2:$P$2,0))*INDEX(Output!$B$3:$P$17,MATCH('Defensive Summary'!C$1,Output!$A$3:$A$17,0),MATCH('Defensive Summary'!$B44,Output!$B$2:$P$2,0))</f>
        <v>2</v>
      </c>
      <c r="D44" s="24">
        <f>INDEX(Output!$B$3:$P$17,MATCH('Defensive Summary'!D$1,Output!$A$3:$A$17,0),MATCH('Defensive Summary'!$A44,Output!$B$2:$P$2,0))*INDEX(Output!$B$3:$P$17,MATCH('Defensive Summary'!D$1,Output!$A$3:$A$17,0),MATCH('Defensive Summary'!$B44,Output!$B$2:$P$2,0))</f>
        <v>2</v>
      </c>
      <c r="E44" s="24">
        <f>INDEX(Output!$B$3:$P$17,MATCH('Defensive Summary'!E$1,Output!$A$3:$A$17,0),MATCH('Defensive Summary'!$A44,Output!$B$2:$P$2,0))*INDEX(Output!$B$3:$P$17,MATCH('Defensive Summary'!E$1,Output!$A$3:$A$17,0),MATCH('Defensive Summary'!$B44,Output!$B$2:$P$2,0))</f>
        <v>2</v>
      </c>
      <c r="F44" s="24">
        <f>INDEX(Output!$B$3:$P$17,MATCH('Defensive Summary'!F$1,Output!$A$3:$A$17,0),MATCH('Defensive Summary'!$A44,Output!$B$2:$P$2,0))*INDEX(Output!$B$3:$P$17,MATCH('Defensive Summary'!F$1,Output!$A$3:$A$17,0),MATCH('Defensive Summary'!$B44,Output!$B$2:$P$2,0))</f>
        <v>0.25</v>
      </c>
      <c r="G44" s="24">
        <f>INDEX(Output!$B$3:$P$17,MATCH('Defensive Summary'!G$1,Output!$A$3:$A$17,0),MATCH('Defensive Summary'!$A44,Output!$B$2:$P$2,0))*INDEX(Output!$B$3:$P$17,MATCH('Defensive Summary'!G$1,Output!$A$3:$A$17,0),MATCH('Defensive Summary'!$B44,Output!$B$2:$P$2,0))</f>
        <v>0</v>
      </c>
      <c r="H44" s="24">
        <f>INDEX(Output!$B$3:$P$17,MATCH('Defensive Summary'!H$1,Output!$A$3:$A$17,0),MATCH('Defensive Summary'!$A44,Output!$B$2:$P$2,0))*INDEX(Output!$B$3:$P$17,MATCH('Defensive Summary'!H$1,Output!$A$3:$A$17,0),MATCH('Defensive Summary'!$B44,Output!$B$2:$P$2,0))</f>
        <v>0</v>
      </c>
      <c r="I44" s="24">
        <f>INDEX(Output!$B$3:$P$17,MATCH('Defensive Summary'!I$1,Output!$A$3:$A$17,0),MATCH('Defensive Summary'!$A44,Output!$B$2:$P$2,0))*INDEX(Output!$B$3:$P$17,MATCH('Defensive Summary'!I$1,Output!$A$3:$A$17,0),MATCH('Defensive Summary'!$B44,Output!$B$2:$P$2,0))</f>
        <v>0.5</v>
      </c>
      <c r="J44" s="24">
        <f>INDEX(Output!$B$3:$P$17,MATCH('Defensive Summary'!J$1,Output!$A$3:$A$17,0),MATCH('Defensive Summary'!$A44,Output!$B$2:$P$2,0))*INDEX(Output!$B$3:$P$17,MATCH('Defensive Summary'!J$1,Output!$A$3:$A$17,0),MATCH('Defensive Summary'!$B44,Output!$B$2:$P$2,0))</f>
        <v>0.5</v>
      </c>
      <c r="K44" s="24">
        <f>INDEX(Output!$B$3:$P$17,MATCH('Defensive Summary'!K$1,Output!$A$3:$A$17,0),MATCH('Defensive Summary'!$A44,Output!$B$2:$P$2,0))*INDEX(Output!$B$3:$P$17,MATCH('Defensive Summary'!K$1,Output!$A$3:$A$17,0),MATCH('Defensive Summary'!$B44,Output!$B$2:$P$2,0))</f>
        <v>1</v>
      </c>
      <c r="L44" s="24">
        <f>INDEX(Output!$B$3:$P$17,MATCH('Defensive Summary'!L$1,Output!$A$3:$A$17,0),MATCH('Defensive Summary'!$A44,Output!$B$2:$P$2,0))*INDEX(Output!$B$3:$P$17,MATCH('Defensive Summary'!L$1,Output!$A$3:$A$17,0),MATCH('Defensive Summary'!$B44,Output!$B$2:$P$2,0))</f>
        <v>0.25</v>
      </c>
      <c r="M44" s="24">
        <f>INDEX(Output!$B$3:$P$17,MATCH('Defensive Summary'!M$1,Output!$A$3:$A$17,0),MATCH('Defensive Summary'!$A44,Output!$B$2:$P$2,0))*INDEX(Output!$B$3:$P$17,MATCH('Defensive Summary'!M$1,Output!$A$3:$A$17,0),MATCH('Defensive Summary'!$B44,Output!$B$2:$P$2,0))</f>
        <v>0</v>
      </c>
      <c r="N44" s="24">
        <f>INDEX(Output!$B$3:$P$17,MATCH('Defensive Summary'!N$1,Output!$A$3:$A$17,0),MATCH('Defensive Summary'!$A44,Output!$B$2:$P$2,0))*INDEX(Output!$B$3:$P$17,MATCH('Defensive Summary'!N$1,Output!$A$3:$A$17,0),MATCH('Defensive Summary'!$B44,Output!$B$2:$P$2,0))</f>
        <v>2</v>
      </c>
      <c r="O44" s="24">
        <f>INDEX(Output!$B$3:$P$17,MATCH('Defensive Summary'!O$1,Output!$A$3:$A$17,0),MATCH('Defensive Summary'!$A44,Output!$B$2:$P$2,0))*INDEX(Output!$B$3:$P$17,MATCH('Defensive Summary'!O$1,Output!$A$3:$A$17,0),MATCH('Defensive Summary'!$B44,Output!$B$2:$P$2,0))</f>
        <v>2</v>
      </c>
      <c r="P44" s="24">
        <f>INDEX(Output!$B$3:$P$17,MATCH('Defensive Summary'!P$1,Output!$A$3:$A$17,0),MATCH('Defensive Summary'!$A44,Output!$B$2:$P$2,0))*INDEX(Output!$B$3:$P$17,MATCH('Defensive Summary'!P$1,Output!$A$3:$A$17,0),MATCH('Defensive Summary'!$B44,Output!$B$2:$P$2,0))</f>
        <v>2</v>
      </c>
      <c r="Q44" s="24">
        <f>INDEX(Output!$B$3:$P$17,MATCH('Defensive Summary'!Q$1,Output!$A$3:$A$17,0),MATCH('Defensive Summary'!$A44,Output!$B$2:$P$2,0))*INDEX(Output!$B$3:$P$17,MATCH('Defensive Summary'!Q$1,Output!$A$3:$A$17,0),MATCH('Defensive Summary'!$B44,Output!$B$2:$P$2,0))</f>
        <v>1</v>
      </c>
      <c r="R44" s="24"/>
      <c r="S44" s="25">
        <f t="shared" si="0"/>
        <v>12</v>
      </c>
      <c r="T44" s="22" t="s">
        <v>3</v>
      </c>
      <c r="U44" s="22" t="s">
        <v>7</v>
      </c>
      <c r="V44" s="24" cm="1">
        <f t="array" ref="V44">_xlfn.IFS(C44=1,0,C44=2,-1,C44=4,-2,C44=0.5,1,C44=0.25,2,C44=0,4)</f>
        <v>-1</v>
      </c>
      <c r="W44" s="24" cm="1">
        <f t="array" ref="W44">_xlfn.IFS(D44=1,0,D44=2,-1,D44=4,-2,D44=0.5,1,D44=0.25,2,D44=0,4)</f>
        <v>-1</v>
      </c>
      <c r="X44" s="24" cm="1">
        <f t="array" ref="X44">_xlfn.IFS(E44=1,0,E44=2,-1,E44=4,-2,E44=0.5,1,E44=0.25,2,E44=0,4)</f>
        <v>-1</v>
      </c>
      <c r="Y44" s="24" cm="1">
        <f t="array" ref="Y44">_xlfn.IFS(F44=1,0,F44=2,-1,F44=4,-2,F44=0.5,1,F44=0.25,2,F44=0,4)</f>
        <v>2</v>
      </c>
      <c r="Z44" s="24" cm="1">
        <f t="array" ref="Z44">_xlfn.IFS(G44=1,0,G44=2,-1,G44=4,-2,G44=0.5,1,G44=0.25,2,G44=0,4)</f>
        <v>4</v>
      </c>
      <c r="AA44" s="24" cm="1">
        <f t="array" ref="AA44">_xlfn.IFS(H44=1,0,H44=2,-1,H44=4,-2,H44=0.5,1,H44=0.25,2,H44=0,4)</f>
        <v>4</v>
      </c>
      <c r="AB44" s="24" cm="1">
        <f t="array" ref="AB44">_xlfn.IFS(I44=1,0,I44=2,-1,I44=4,-2,I44=0.5,1,I44=0.25,2,I44=0,4)</f>
        <v>1</v>
      </c>
      <c r="AC44" s="24" cm="1">
        <f t="array" ref="AC44">_xlfn.IFS(J44=1,0,J44=2,-1,J44=4,-2,J44=0.5,1,J44=0.25,2,J44=0,4)</f>
        <v>1</v>
      </c>
      <c r="AD44" s="24" cm="1">
        <f t="array" ref="AD44">_xlfn.IFS(K44=1,0,K44=2,-1,K44=4,-2,K44=0.5,1,K44=0.25,2,K44=0,4)</f>
        <v>0</v>
      </c>
      <c r="AE44" s="24" cm="1">
        <f t="array" ref="AE44">_xlfn.IFS(L44=1,0,L44=2,-1,L44=4,-2,L44=0.5,1,L44=0.25,2,L44=0,4)</f>
        <v>2</v>
      </c>
      <c r="AF44" s="24" cm="1">
        <f t="array" ref="AF44">_xlfn.IFS(M44=1,0,M44=2,-1,M44=4,-2,M44=0.5,1,M44=0.25,2,M44=0,4)</f>
        <v>4</v>
      </c>
      <c r="AG44" s="24" cm="1">
        <f t="array" ref="AG44">_xlfn.IFS(N44=1,0,N44=2,-1,N44=4,-2,N44=0.5,1,N44=0.25,2,N44=0,4)</f>
        <v>-1</v>
      </c>
      <c r="AH44" s="24" cm="1">
        <f t="array" ref="AH44">_xlfn.IFS(O44=1,0,O44=2,-1,O44=4,-2,O44=0.5,1,O44=0.25,2,O44=0,4)</f>
        <v>-1</v>
      </c>
      <c r="AI44" s="24" cm="1">
        <f t="array" ref="AI44">_xlfn.IFS(P44=1,0,P44=2,-1,P44=4,-2,P44=0.5,1,P44=0.25,2,P44=0,4)</f>
        <v>-1</v>
      </c>
      <c r="AJ44" s="24" cm="1">
        <f t="array" ref="AJ44">_xlfn.IFS(Q44=1,0,Q44=2,-1,Q44=4,-2,Q44=0.5,1,Q44=0.25,2,Q44=0,4)</f>
        <v>0</v>
      </c>
    </row>
    <row r="45" spans="1:36" x14ac:dyDescent="0.2">
      <c r="A45" s="22" t="s">
        <v>3</v>
      </c>
      <c r="B45" s="22" t="s">
        <v>8</v>
      </c>
      <c r="C45" s="24">
        <f>INDEX(Output!$B$3:$P$17,MATCH('Defensive Summary'!C$1,Output!$A$3:$A$17,0),MATCH('Defensive Summary'!$A45,Output!$B$2:$P$2,0))*INDEX(Output!$B$3:$P$17,MATCH('Defensive Summary'!C$1,Output!$A$3:$A$17,0),MATCH('Defensive Summary'!$B45,Output!$B$2:$P$2,0))</f>
        <v>1</v>
      </c>
      <c r="D45" s="24">
        <f>INDEX(Output!$B$3:$P$17,MATCH('Defensive Summary'!D$1,Output!$A$3:$A$17,0),MATCH('Defensive Summary'!$A45,Output!$B$2:$P$2,0))*INDEX(Output!$B$3:$P$17,MATCH('Defensive Summary'!D$1,Output!$A$3:$A$17,0),MATCH('Defensive Summary'!$B45,Output!$B$2:$P$2,0))</f>
        <v>1</v>
      </c>
      <c r="E45" s="24">
        <f>INDEX(Output!$B$3:$P$17,MATCH('Defensive Summary'!E$1,Output!$A$3:$A$17,0),MATCH('Defensive Summary'!$A45,Output!$B$2:$P$2,0))*INDEX(Output!$B$3:$P$17,MATCH('Defensive Summary'!E$1,Output!$A$3:$A$17,0),MATCH('Defensive Summary'!$B45,Output!$B$2:$P$2,0))</f>
        <v>2</v>
      </c>
      <c r="F45" s="24">
        <f>INDEX(Output!$B$3:$P$17,MATCH('Defensive Summary'!F$1,Output!$A$3:$A$17,0),MATCH('Defensive Summary'!$A45,Output!$B$2:$P$2,0))*INDEX(Output!$B$3:$P$17,MATCH('Defensive Summary'!F$1,Output!$A$3:$A$17,0),MATCH('Defensive Summary'!$B45,Output!$B$2:$P$2,0))</f>
        <v>0.25</v>
      </c>
      <c r="G45" s="24">
        <f>INDEX(Output!$B$3:$P$17,MATCH('Defensive Summary'!G$1,Output!$A$3:$A$17,0),MATCH('Defensive Summary'!$A45,Output!$B$2:$P$2,0))*INDEX(Output!$B$3:$P$17,MATCH('Defensive Summary'!G$1,Output!$A$3:$A$17,0),MATCH('Defensive Summary'!$B45,Output!$B$2:$P$2,0))</f>
        <v>0</v>
      </c>
      <c r="H45" s="24">
        <f>INDEX(Output!$B$3:$P$17,MATCH('Defensive Summary'!H$1,Output!$A$3:$A$17,0),MATCH('Defensive Summary'!$A45,Output!$B$2:$P$2,0))*INDEX(Output!$B$3:$P$17,MATCH('Defensive Summary'!H$1,Output!$A$3:$A$17,0),MATCH('Defensive Summary'!$B45,Output!$B$2:$P$2,0))</f>
        <v>0</v>
      </c>
      <c r="I45" s="24">
        <f>INDEX(Output!$B$3:$P$17,MATCH('Defensive Summary'!I$1,Output!$A$3:$A$17,0),MATCH('Defensive Summary'!$A45,Output!$B$2:$P$2,0))*INDEX(Output!$B$3:$P$17,MATCH('Defensive Summary'!I$1,Output!$A$3:$A$17,0),MATCH('Defensive Summary'!$B45,Output!$B$2:$P$2,0))</f>
        <v>0.5</v>
      </c>
      <c r="J45" s="24">
        <f>INDEX(Output!$B$3:$P$17,MATCH('Defensive Summary'!J$1,Output!$A$3:$A$17,0),MATCH('Defensive Summary'!$A45,Output!$B$2:$P$2,0))*INDEX(Output!$B$3:$P$17,MATCH('Defensive Summary'!J$1,Output!$A$3:$A$17,0),MATCH('Defensive Summary'!$B45,Output!$B$2:$P$2,0))</f>
        <v>0</v>
      </c>
      <c r="K45" s="24">
        <f>INDEX(Output!$B$3:$P$17,MATCH('Defensive Summary'!K$1,Output!$A$3:$A$17,0),MATCH('Defensive Summary'!$A45,Output!$B$2:$P$2,0))*INDEX(Output!$B$3:$P$17,MATCH('Defensive Summary'!K$1,Output!$A$3:$A$17,0),MATCH('Defensive Summary'!$B45,Output!$B$2:$P$2,0))</f>
        <v>0.5</v>
      </c>
      <c r="L45" s="24">
        <f>INDEX(Output!$B$3:$P$17,MATCH('Defensive Summary'!L$1,Output!$A$3:$A$17,0),MATCH('Defensive Summary'!$A45,Output!$B$2:$P$2,0))*INDEX(Output!$B$3:$P$17,MATCH('Defensive Summary'!L$1,Output!$A$3:$A$17,0),MATCH('Defensive Summary'!$B45,Output!$B$2:$P$2,0))</f>
        <v>1</v>
      </c>
      <c r="M45" s="24">
        <f>INDEX(Output!$B$3:$P$17,MATCH('Defensive Summary'!M$1,Output!$A$3:$A$17,0),MATCH('Defensive Summary'!$A45,Output!$B$2:$P$2,0))*INDEX(Output!$B$3:$P$17,MATCH('Defensive Summary'!M$1,Output!$A$3:$A$17,0),MATCH('Defensive Summary'!$B45,Output!$B$2:$P$2,0))</f>
        <v>0.5</v>
      </c>
      <c r="N45" s="24">
        <f>INDEX(Output!$B$3:$P$17,MATCH('Defensive Summary'!N$1,Output!$A$3:$A$17,0),MATCH('Defensive Summary'!$A45,Output!$B$2:$P$2,0))*INDEX(Output!$B$3:$P$17,MATCH('Defensive Summary'!N$1,Output!$A$3:$A$17,0),MATCH('Defensive Summary'!$B45,Output!$B$2:$P$2,0))</f>
        <v>1</v>
      </c>
      <c r="O45" s="24">
        <f>INDEX(Output!$B$3:$P$17,MATCH('Defensive Summary'!O$1,Output!$A$3:$A$17,0),MATCH('Defensive Summary'!$A45,Output!$B$2:$P$2,0))*INDEX(Output!$B$3:$P$17,MATCH('Defensive Summary'!O$1,Output!$A$3:$A$17,0),MATCH('Defensive Summary'!$B45,Output!$B$2:$P$2,0))</f>
        <v>1</v>
      </c>
      <c r="P45" s="24">
        <f>INDEX(Output!$B$3:$P$17,MATCH('Defensive Summary'!P$1,Output!$A$3:$A$17,0),MATCH('Defensive Summary'!$A45,Output!$B$2:$P$2,0))*INDEX(Output!$B$3:$P$17,MATCH('Defensive Summary'!P$1,Output!$A$3:$A$17,0),MATCH('Defensive Summary'!$B45,Output!$B$2:$P$2,0))</f>
        <v>0.5</v>
      </c>
      <c r="Q45" s="24">
        <f>INDEX(Output!$B$3:$P$17,MATCH('Defensive Summary'!Q$1,Output!$A$3:$A$17,0),MATCH('Defensive Summary'!$A45,Output!$B$2:$P$2,0))*INDEX(Output!$B$3:$P$17,MATCH('Defensive Summary'!Q$1,Output!$A$3:$A$17,0),MATCH('Defensive Summary'!$B45,Output!$B$2:$P$2,0))</f>
        <v>1</v>
      </c>
      <c r="R45" s="24"/>
      <c r="S45" s="25">
        <f t="shared" si="0"/>
        <v>17</v>
      </c>
      <c r="T45" s="22" t="s">
        <v>3</v>
      </c>
      <c r="U45" s="22" t="s">
        <v>8</v>
      </c>
      <c r="V45" s="24" cm="1">
        <f t="array" ref="V45">_xlfn.IFS(C45=1,0,C45=2,-1,C45=4,-2,C45=0.5,1,C45=0.25,2,C45=0,4)</f>
        <v>0</v>
      </c>
      <c r="W45" s="24" cm="1">
        <f t="array" ref="W45">_xlfn.IFS(D45=1,0,D45=2,-1,D45=4,-2,D45=0.5,1,D45=0.25,2,D45=0,4)</f>
        <v>0</v>
      </c>
      <c r="X45" s="24" cm="1">
        <f t="array" ref="X45">_xlfn.IFS(E45=1,0,E45=2,-1,E45=4,-2,E45=0.5,1,E45=0.25,2,E45=0,4)</f>
        <v>-1</v>
      </c>
      <c r="Y45" s="24" cm="1">
        <f t="array" ref="Y45">_xlfn.IFS(F45=1,0,F45=2,-1,F45=4,-2,F45=0.5,1,F45=0.25,2,F45=0,4)</f>
        <v>2</v>
      </c>
      <c r="Z45" s="24" cm="1">
        <f t="array" ref="Z45">_xlfn.IFS(G45=1,0,G45=2,-1,G45=4,-2,G45=0.5,1,G45=0.25,2,G45=0,4)</f>
        <v>4</v>
      </c>
      <c r="AA45" s="24" cm="1">
        <f t="array" ref="AA45">_xlfn.IFS(H45=1,0,H45=2,-1,H45=4,-2,H45=0.5,1,H45=0.25,2,H45=0,4)</f>
        <v>4</v>
      </c>
      <c r="AB45" s="24" cm="1">
        <f t="array" ref="AB45">_xlfn.IFS(I45=1,0,I45=2,-1,I45=4,-2,I45=0.5,1,I45=0.25,2,I45=0,4)</f>
        <v>1</v>
      </c>
      <c r="AC45" s="24" cm="1">
        <f t="array" ref="AC45">_xlfn.IFS(J45=1,0,J45=2,-1,J45=4,-2,J45=0.5,1,J45=0.25,2,J45=0,4)</f>
        <v>4</v>
      </c>
      <c r="AD45" s="24" cm="1">
        <f t="array" ref="AD45">_xlfn.IFS(K45=1,0,K45=2,-1,K45=4,-2,K45=0.5,1,K45=0.25,2,K45=0,4)</f>
        <v>1</v>
      </c>
      <c r="AE45" s="24" cm="1">
        <f t="array" ref="AE45">_xlfn.IFS(L45=1,0,L45=2,-1,L45=4,-2,L45=0.5,1,L45=0.25,2,L45=0,4)</f>
        <v>0</v>
      </c>
      <c r="AF45" s="24" cm="1">
        <f t="array" ref="AF45">_xlfn.IFS(M45=1,0,M45=2,-1,M45=4,-2,M45=0.5,1,M45=0.25,2,M45=0,4)</f>
        <v>1</v>
      </c>
      <c r="AG45" s="24" cm="1">
        <f t="array" ref="AG45">_xlfn.IFS(N45=1,0,N45=2,-1,N45=4,-2,N45=0.5,1,N45=0.25,2,N45=0,4)</f>
        <v>0</v>
      </c>
      <c r="AH45" s="24" cm="1">
        <f t="array" ref="AH45">_xlfn.IFS(O45=1,0,O45=2,-1,O45=4,-2,O45=0.5,1,O45=0.25,2,O45=0,4)</f>
        <v>0</v>
      </c>
      <c r="AI45" s="24" cm="1">
        <f t="array" ref="AI45">_xlfn.IFS(P45=1,0,P45=2,-1,P45=4,-2,P45=0.5,1,P45=0.25,2,P45=0,4)</f>
        <v>1</v>
      </c>
      <c r="AJ45" s="24" cm="1">
        <f t="array" ref="AJ45">_xlfn.IFS(Q45=1,0,Q45=2,-1,Q45=4,-2,Q45=0.5,1,Q45=0.25,2,Q45=0,4)</f>
        <v>0</v>
      </c>
    </row>
    <row r="46" spans="1:36" x14ac:dyDescent="0.2">
      <c r="A46" s="22" t="s">
        <v>3</v>
      </c>
      <c r="B46" s="22" t="s">
        <v>9</v>
      </c>
      <c r="C46" s="24">
        <f>INDEX(Output!$B$3:$P$17,MATCH('Defensive Summary'!C$1,Output!$A$3:$A$17,0),MATCH('Defensive Summary'!$A46,Output!$B$2:$P$2,0))*INDEX(Output!$B$3:$P$17,MATCH('Defensive Summary'!C$1,Output!$A$3:$A$17,0),MATCH('Defensive Summary'!$B46,Output!$B$2:$P$2,0))</f>
        <v>2</v>
      </c>
      <c r="D46" s="24">
        <f>INDEX(Output!$B$3:$P$17,MATCH('Defensive Summary'!D$1,Output!$A$3:$A$17,0),MATCH('Defensive Summary'!$A46,Output!$B$2:$P$2,0))*INDEX(Output!$B$3:$P$17,MATCH('Defensive Summary'!D$1,Output!$A$3:$A$17,0),MATCH('Defensive Summary'!$B46,Output!$B$2:$P$2,0))</f>
        <v>2</v>
      </c>
      <c r="E46" s="24">
        <f>INDEX(Output!$B$3:$P$17,MATCH('Defensive Summary'!E$1,Output!$A$3:$A$17,0),MATCH('Defensive Summary'!$A46,Output!$B$2:$P$2,0))*INDEX(Output!$B$3:$P$17,MATCH('Defensive Summary'!E$1,Output!$A$3:$A$17,0),MATCH('Defensive Summary'!$B46,Output!$B$2:$P$2,0))</f>
        <v>2</v>
      </c>
      <c r="F46" s="24">
        <f>INDEX(Output!$B$3:$P$17,MATCH('Defensive Summary'!F$1,Output!$A$3:$A$17,0),MATCH('Defensive Summary'!$A46,Output!$B$2:$P$2,0))*INDEX(Output!$B$3:$P$17,MATCH('Defensive Summary'!F$1,Output!$A$3:$A$17,0),MATCH('Defensive Summary'!$B46,Output!$B$2:$P$2,0))</f>
        <v>0.5</v>
      </c>
      <c r="G46" s="24">
        <f>INDEX(Output!$B$3:$P$17,MATCH('Defensive Summary'!G$1,Output!$A$3:$A$17,0),MATCH('Defensive Summary'!$A46,Output!$B$2:$P$2,0))*INDEX(Output!$B$3:$P$17,MATCH('Defensive Summary'!G$1,Output!$A$3:$A$17,0),MATCH('Defensive Summary'!$B46,Output!$B$2:$P$2,0))</f>
        <v>0</v>
      </c>
      <c r="H46" s="24">
        <f>INDEX(Output!$B$3:$P$17,MATCH('Defensive Summary'!H$1,Output!$A$3:$A$17,0),MATCH('Defensive Summary'!$A46,Output!$B$2:$P$2,0))*INDEX(Output!$B$3:$P$17,MATCH('Defensive Summary'!H$1,Output!$A$3:$A$17,0),MATCH('Defensive Summary'!$B46,Output!$B$2:$P$2,0))</f>
        <v>0</v>
      </c>
      <c r="I46" s="24">
        <f>INDEX(Output!$B$3:$P$17,MATCH('Defensive Summary'!I$1,Output!$A$3:$A$17,0),MATCH('Defensive Summary'!$A46,Output!$B$2:$P$2,0))*INDEX(Output!$B$3:$P$17,MATCH('Defensive Summary'!I$1,Output!$A$3:$A$17,0),MATCH('Defensive Summary'!$B46,Output!$B$2:$P$2,0))</f>
        <v>0.5</v>
      </c>
      <c r="J46" s="24">
        <f>INDEX(Output!$B$3:$P$17,MATCH('Defensive Summary'!J$1,Output!$A$3:$A$17,0),MATCH('Defensive Summary'!$A46,Output!$B$2:$P$2,0))*INDEX(Output!$B$3:$P$17,MATCH('Defensive Summary'!J$1,Output!$A$3:$A$17,0),MATCH('Defensive Summary'!$B46,Output!$B$2:$P$2,0))</f>
        <v>0.25</v>
      </c>
      <c r="K46" s="24">
        <f>INDEX(Output!$B$3:$P$17,MATCH('Defensive Summary'!K$1,Output!$A$3:$A$17,0),MATCH('Defensive Summary'!$A46,Output!$B$2:$P$2,0))*INDEX(Output!$B$3:$P$17,MATCH('Defensive Summary'!K$1,Output!$A$3:$A$17,0),MATCH('Defensive Summary'!$B46,Output!$B$2:$P$2,0))</f>
        <v>0</v>
      </c>
      <c r="L46" s="24">
        <f>INDEX(Output!$B$3:$P$17,MATCH('Defensive Summary'!L$1,Output!$A$3:$A$17,0),MATCH('Defensive Summary'!$A46,Output!$B$2:$P$2,0))*INDEX(Output!$B$3:$P$17,MATCH('Defensive Summary'!L$1,Output!$A$3:$A$17,0),MATCH('Defensive Summary'!$B46,Output!$B$2:$P$2,0))</f>
        <v>0.5</v>
      </c>
      <c r="M46" s="24">
        <f>INDEX(Output!$B$3:$P$17,MATCH('Defensive Summary'!M$1,Output!$A$3:$A$17,0),MATCH('Defensive Summary'!$A46,Output!$B$2:$P$2,0))*INDEX(Output!$B$3:$P$17,MATCH('Defensive Summary'!M$1,Output!$A$3:$A$17,0),MATCH('Defensive Summary'!$B46,Output!$B$2:$P$2,0))</f>
        <v>2</v>
      </c>
      <c r="N46" s="24">
        <f>INDEX(Output!$B$3:$P$17,MATCH('Defensive Summary'!N$1,Output!$A$3:$A$17,0),MATCH('Defensive Summary'!$A46,Output!$B$2:$P$2,0))*INDEX(Output!$B$3:$P$17,MATCH('Defensive Summary'!N$1,Output!$A$3:$A$17,0),MATCH('Defensive Summary'!$B46,Output!$B$2:$P$2,0))</f>
        <v>1</v>
      </c>
      <c r="O46" s="24">
        <f>INDEX(Output!$B$3:$P$17,MATCH('Defensive Summary'!O$1,Output!$A$3:$A$17,0),MATCH('Defensive Summary'!$A46,Output!$B$2:$P$2,0))*INDEX(Output!$B$3:$P$17,MATCH('Defensive Summary'!O$1,Output!$A$3:$A$17,0),MATCH('Defensive Summary'!$B46,Output!$B$2:$P$2,0))</f>
        <v>0.5</v>
      </c>
      <c r="P46" s="24">
        <f>INDEX(Output!$B$3:$P$17,MATCH('Defensive Summary'!P$1,Output!$A$3:$A$17,0),MATCH('Defensive Summary'!$A46,Output!$B$2:$P$2,0))*INDEX(Output!$B$3:$P$17,MATCH('Defensive Summary'!P$1,Output!$A$3:$A$17,0),MATCH('Defensive Summary'!$B46,Output!$B$2:$P$2,0))</f>
        <v>2</v>
      </c>
      <c r="Q46" s="24">
        <f>INDEX(Output!$B$3:$P$17,MATCH('Defensive Summary'!Q$1,Output!$A$3:$A$17,0),MATCH('Defensive Summary'!$A46,Output!$B$2:$P$2,0))*INDEX(Output!$B$3:$P$17,MATCH('Defensive Summary'!Q$1,Output!$A$3:$A$17,0),MATCH('Defensive Summary'!$B46,Output!$B$2:$P$2,0))</f>
        <v>1</v>
      </c>
      <c r="R46" s="24"/>
      <c r="S46" s="25">
        <f t="shared" si="0"/>
        <v>13</v>
      </c>
      <c r="T46" s="22" t="s">
        <v>3</v>
      </c>
      <c r="U46" s="22" t="s">
        <v>9</v>
      </c>
      <c r="V46" s="24" cm="1">
        <f t="array" ref="V46">_xlfn.IFS(C46=1,0,C46=2,-1,C46=4,-2,C46=0.5,1,C46=0.25,2,C46=0,4)</f>
        <v>-1</v>
      </c>
      <c r="W46" s="24" cm="1">
        <f t="array" ref="W46">_xlfn.IFS(D46=1,0,D46=2,-1,D46=4,-2,D46=0.5,1,D46=0.25,2,D46=0,4)</f>
        <v>-1</v>
      </c>
      <c r="X46" s="24" cm="1">
        <f t="array" ref="X46">_xlfn.IFS(E46=1,0,E46=2,-1,E46=4,-2,E46=0.5,1,E46=0.25,2,E46=0,4)</f>
        <v>-1</v>
      </c>
      <c r="Y46" s="24" cm="1">
        <f t="array" ref="Y46">_xlfn.IFS(F46=1,0,F46=2,-1,F46=4,-2,F46=0.5,1,F46=0.25,2,F46=0,4)</f>
        <v>1</v>
      </c>
      <c r="Z46" s="24" cm="1">
        <f t="array" ref="Z46">_xlfn.IFS(G46=1,0,G46=2,-1,G46=4,-2,G46=0.5,1,G46=0.25,2,G46=0,4)</f>
        <v>4</v>
      </c>
      <c r="AA46" s="24" cm="1">
        <f t="array" ref="AA46">_xlfn.IFS(H46=1,0,H46=2,-1,H46=4,-2,H46=0.5,1,H46=0.25,2,H46=0,4)</f>
        <v>4</v>
      </c>
      <c r="AB46" s="24" cm="1">
        <f t="array" ref="AB46">_xlfn.IFS(I46=1,0,I46=2,-1,I46=4,-2,I46=0.5,1,I46=0.25,2,I46=0,4)</f>
        <v>1</v>
      </c>
      <c r="AC46" s="24" cm="1">
        <f t="array" ref="AC46">_xlfn.IFS(J46=1,0,J46=2,-1,J46=4,-2,J46=0.5,1,J46=0.25,2,J46=0,4)</f>
        <v>2</v>
      </c>
      <c r="AD46" s="24" cm="1">
        <f t="array" ref="AD46">_xlfn.IFS(K46=1,0,K46=2,-1,K46=4,-2,K46=0.5,1,K46=0.25,2,K46=0,4)</f>
        <v>4</v>
      </c>
      <c r="AE46" s="24" cm="1">
        <f t="array" ref="AE46">_xlfn.IFS(L46=1,0,L46=2,-1,L46=4,-2,L46=0.5,1,L46=0.25,2,L46=0,4)</f>
        <v>1</v>
      </c>
      <c r="AF46" s="24" cm="1">
        <f t="array" ref="AF46">_xlfn.IFS(M46=1,0,M46=2,-1,M46=4,-2,M46=0.5,1,M46=0.25,2,M46=0,4)</f>
        <v>-1</v>
      </c>
      <c r="AG46" s="24" cm="1">
        <f t="array" ref="AG46">_xlfn.IFS(N46=1,0,N46=2,-1,N46=4,-2,N46=0.5,1,N46=0.25,2,N46=0,4)</f>
        <v>0</v>
      </c>
      <c r="AH46" s="24" cm="1">
        <f t="array" ref="AH46">_xlfn.IFS(O46=1,0,O46=2,-1,O46=4,-2,O46=0.5,1,O46=0.25,2,O46=0,4)</f>
        <v>1</v>
      </c>
      <c r="AI46" s="24" cm="1">
        <f t="array" ref="AI46">_xlfn.IFS(P46=1,0,P46=2,-1,P46=4,-2,P46=0.5,1,P46=0.25,2,P46=0,4)</f>
        <v>-1</v>
      </c>
      <c r="AJ46" s="24" cm="1">
        <f t="array" ref="AJ46">_xlfn.IFS(Q46=1,0,Q46=2,-1,Q46=4,-2,Q46=0.5,1,Q46=0.25,2,Q46=0,4)</f>
        <v>0</v>
      </c>
    </row>
    <row r="47" spans="1:36" x14ac:dyDescent="0.2">
      <c r="A47" s="22" t="s">
        <v>3</v>
      </c>
      <c r="B47" s="22" t="s">
        <v>10</v>
      </c>
      <c r="C47" s="24">
        <f>INDEX(Output!$B$3:$P$17,MATCH('Defensive Summary'!C$1,Output!$A$3:$A$17,0),MATCH('Defensive Summary'!$A47,Output!$B$2:$P$2,0))*INDEX(Output!$B$3:$P$17,MATCH('Defensive Summary'!C$1,Output!$A$3:$A$17,0),MATCH('Defensive Summary'!$B47,Output!$B$2:$P$2,0))</f>
        <v>4</v>
      </c>
      <c r="D47" s="24">
        <f>INDEX(Output!$B$3:$P$17,MATCH('Defensive Summary'!D$1,Output!$A$3:$A$17,0),MATCH('Defensive Summary'!$A47,Output!$B$2:$P$2,0))*INDEX(Output!$B$3:$P$17,MATCH('Defensive Summary'!D$1,Output!$A$3:$A$17,0),MATCH('Defensive Summary'!$B47,Output!$B$2:$P$2,0))</f>
        <v>2</v>
      </c>
      <c r="E47" s="24">
        <f>INDEX(Output!$B$3:$P$17,MATCH('Defensive Summary'!E$1,Output!$A$3:$A$17,0),MATCH('Defensive Summary'!$A47,Output!$B$2:$P$2,0))*INDEX(Output!$B$3:$P$17,MATCH('Defensive Summary'!E$1,Output!$A$3:$A$17,0),MATCH('Defensive Summary'!$B47,Output!$B$2:$P$2,0))</f>
        <v>1</v>
      </c>
      <c r="F47" s="24">
        <f>INDEX(Output!$B$3:$P$17,MATCH('Defensive Summary'!F$1,Output!$A$3:$A$17,0),MATCH('Defensive Summary'!$A47,Output!$B$2:$P$2,0))*INDEX(Output!$B$3:$P$17,MATCH('Defensive Summary'!F$1,Output!$A$3:$A$17,0),MATCH('Defensive Summary'!$B47,Output!$B$2:$P$2,0))</f>
        <v>0.5</v>
      </c>
      <c r="G47" s="24">
        <f>INDEX(Output!$B$3:$P$17,MATCH('Defensive Summary'!G$1,Output!$A$3:$A$17,0),MATCH('Defensive Summary'!$A47,Output!$B$2:$P$2,0))*INDEX(Output!$B$3:$P$17,MATCH('Defensive Summary'!G$1,Output!$A$3:$A$17,0),MATCH('Defensive Summary'!$B47,Output!$B$2:$P$2,0))</f>
        <v>0</v>
      </c>
      <c r="H47" s="24">
        <f>INDEX(Output!$B$3:$P$17,MATCH('Defensive Summary'!H$1,Output!$A$3:$A$17,0),MATCH('Defensive Summary'!$A47,Output!$B$2:$P$2,0))*INDEX(Output!$B$3:$P$17,MATCH('Defensive Summary'!H$1,Output!$A$3:$A$17,0),MATCH('Defensive Summary'!$B47,Output!$B$2:$P$2,0))</f>
        <v>0</v>
      </c>
      <c r="I47" s="24">
        <f>INDEX(Output!$B$3:$P$17,MATCH('Defensive Summary'!I$1,Output!$A$3:$A$17,0),MATCH('Defensive Summary'!$A47,Output!$B$2:$P$2,0))*INDEX(Output!$B$3:$P$17,MATCH('Defensive Summary'!I$1,Output!$A$3:$A$17,0),MATCH('Defensive Summary'!$B47,Output!$B$2:$P$2,0))</f>
        <v>0.25</v>
      </c>
      <c r="J47" s="24">
        <f>INDEX(Output!$B$3:$P$17,MATCH('Defensive Summary'!J$1,Output!$A$3:$A$17,0),MATCH('Defensive Summary'!$A47,Output!$B$2:$P$2,0))*INDEX(Output!$B$3:$P$17,MATCH('Defensive Summary'!J$1,Output!$A$3:$A$17,0),MATCH('Defensive Summary'!$B47,Output!$B$2:$P$2,0))</f>
        <v>1</v>
      </c>
      <c r="K47" s="24">
        <f>INDEX(Output!$B$3:$P$17,MATCH('Defensive Summary'!K$1,Output!$A$3:$A$17,0),MATCH('Defensive Summary'!$A47,Output!$B$2:$P$2,0))*INDEX(Output!$B$3:$P$17,MATCH('Defensive Summary'!K$1,Output!$A$3:$A$17,0),MATCH('Defensive Summary'!$B47,Output!$B$2:$P$2,0))</f>
        <v>0.25</v>
      </c>
      <c r="L47" s="24">
        <f>INDEX(Output!$B$3:$P$17,MATCH('Defensive Summary'!L$1,Output!$A$3:$A$17,0),MATCH('Defensive Summary'!$A47,Output!$B$2:$P$2,0))*INDEX(Output!$B$3:$P$17,MATCH('Defensive Summary'!L$1,Output!$A$3:$A$17,0),MATCH('Defensive Summary'!$B47,Output!$B$2:$P$2,0))</f>
        <v>0</v>
      </c>
      <c r="M47" s="24">
        <f>INDEX(Output!$B$3:$P$17,MATCH('Defensive Summary'!M$1,Output!$A$3:$A$17,0),MATCH('Defensive Summary'!$A47,Output!$B$2:$P$2,0))*INDEX(Output!$B$3:$P$17,MATCH('Defensive Summary'!M$1,Output!$A$3:$A$17,0),MATCH('Defensive Summary'!$B47,Output!$B$2:$P$2,0))</f>
        <v>1</v>
      </c>
      <c r="N47" s="24">
        <f>INDEX(Output!$B$3:$P$17,MATCH('Defensive Summary'!N$1,Output!$A$3:$A$17,0),MATCH('Defensive Summary'!$A47,Output!$B$2:$P$2,0))*INDEX(Output!$B$3:$P$17,MATCH('Defensive Summary'!N$1,Output!$A$3:$A$17,0),MATCH('Defensive Summary'!$B47,Output!$B$2:$P$2,0))</f>
        <v>0.5</v>
      </c>
      <c r="O47" s="24">
        <f>INDEX(Output!$B$3:$P$17,MATCH('Defensive Summary'!O$1,Output!$A$3:$A$17,0),MATCH('Defensive Summary'!$A47,Output!$B$2:$P$2,0))*INDEX(Output!$B$3:$P$17,MATCH('Defensive Summary'!O$1,Output!$A$3:$A$17,0),MATCH('Defensive Summary'!$B47,Output!$B$2:$P$2,0))</f>
        <v>0.5</v>
      </c>
      <c r="P47" s="24">
        <f>INDEX(Output!$B$3:$P$17,MATCH('Defensive Summary'!P$1,Output!$A$3:$A$17,0),MATCH('Defensive Summary'!$A47,Output!$B$2:$P$2,0))*INDEX(Output!$B$3:$P$17,MATCH('Defensive Summary'!P$1,Output!$A$3:$A$17,0),MATCH('Defensive Summary'!$B47,Output!$B$2:$P$2,0))</f>
        <v>1</v>
      </c>
      <c r="Q47" s="24">
        <f>INDEX(Output!$B$3:$P$17,MATCH('Defensive Summary'!Q$1,Output!$A$3:$A$17,0),MATCH('Defensive Summary'!$A47,Output!$B$2:$P$2,0))*INDEX(Output!$B$3:$P$17,MATCH('Defensive Summary'!Q$1,Output!$A$3:$A$17,0),MATCH('Defensive Summary'!$B47,Output!$B$2:$P$2,0))</f>
        <v>1</v>
      </c>
      <c r="R47" s="24"/>
      <c r="S47" s="25">
        <f t="shared" si="0"/>
        <v>16</v>
      </c>
      <c r="T47" s="22" t="s">
        <v>3</v>
      </c>
      <c r="U47" s="22" t="s">
        <v>10</v>
      </c>
      <c r="V47" s="24" cm="1">
        <f t="array" ref="V47">_xlfn.IFS(C47=1,0,C47=2,-1,C47=4,-2,C47=0.5,1,C47=0.25,2,C47=0,4)</f>
        <v>-2</v>
      </c>
      <c r="W47" s="24" cm="1">
        <f t="array" ref="W47">_xlfn.IFS(D47=1,0,D47=2,-1,D47=4,-2,D47=0.5,1,D47=0.25,2,D47=0,4)</f>
        <v>-1</v>
      </c>
      <c r="X47" s="24" cm="1">
        <f t="array" ref="X47">_xlfn.IFS(E47=1,0,E47=2,-1,E47=4,-2,E47=0.5,1,E47=0.25,2,E47=0,4)</f>
        <v>0</v>
      </c>
      <c r="Y47" s="24" cm="1">
        <f t="array" ref="Y47">_xlfn.IFS(F47=1,0,F47=2,-1,F47=4,-2,F47=0.5,1,F47=0.25,2,F47=0,4)</f>
        <v>1</v>
      </c>
      <c r="Z47" s="24" cm="1">
        <f t="array" ref="Z47">_xlfn.IFS(G47=1,0,G47=2,-1,G47=4,-2,G47=0.5,1,G47=0.25,2,G47=0,4)</f>
        <v>4</v>
      </c>
      <c r="AA47" s="24" cm="1">
        <f t="array" ref="AA47">_xlfn.IFS(H47=1,0,H47=2,-1,H47=4,-2,H47=0.5,1,H47=0.25,2,H47=0,4)</f>
        <v>4</v>
      </c>
      <c r="AB47" s="24" cm="1">
        <f t="array" ref="AB47">_xlfn.IFS(I47=1,0,I47=2,-1,I47=4,-2,I47=0.5,1,I47=0.25,2,I47=0,4)</f>
        <v>2</v>
      </c>
      <c r="AC47" s="24" cm="1">
        <f t="array" ref="AC47">_xlfn.IFS(J47=1,0,J47=2,-1,J47=4,-2,J47=0.5,1,J47=0.25,2,J47=0,4)</f>
        <v>0</v>
      </c>
      <c r="AD47" s="24" cm="1">
        <f t="array" ref="AD47">_xlfn.IFS(K47=1,0,K47=2,-1,K47=4,-2,K47=0.5,1,K47=0.25,2,K47=0,4)</f>
        <v>2</v>
      </c>
      <c r="AE47" s="24" cm="1">
        <f t="array" ref="AE47">_xlfn.IFS(L47=1,0,L47=2,-1,L47=4,-2,L47=0.5,1,L47=0.25,2,L47=0,4)</f>
        <v>4</v>
      </c>
      <c r="AF47" s="24" cm="1">
        <f t="array" ref="AF47">_xlfn.IFS(M47=1,0,M47=2,-1,M47=4,-2,M47=0.5,1,M47=0.25,2,M47=0,4)</f>
        <v>0</v>
      </c>
      <c r="AG47" s="24" cm="1">
        <f t="array" ref="AG47">_xlfn.IFS(N47=1,0,N47=2,-1,N47=4,-2,N47=0.5,1,N47=0.25,2,N47=0,4)</f>
        <v>1</v>
      </c>
      <c r="AH47" s="24" cm="1">
        <f t="array" ref="AH47">_xlfn.IFS(O47=1,0,O47=2,-1,O47=4,-2,O47=0.5,1,O47=0.25,2,O47=0,4)</f>
        <v>1</v>
      </c>
      <c r="AI47" s="24" cm="1">
        <f t="array" ref="AI47">_xlfn.IFS(P47=1,0,P47=2,-1,P47=4,-2,P47=0.5,1,P47=0.25,2,P47=0,4)</f>
        <v>0</v>
      </c>
      <c r="AJ47" s="24" cm="1">
        <f t="array" ref="AJ47">_xlfn.IFS(Q47=1,0,Q47=2,-1,Q47=4,-2,Q47=0.5,1,Q47=0.25,2,Q47=0,4)</f>
        <v>0</v>
      </c>
    </row>
    <row r="48" spans="1:36" x14ac:dyDescent="0.2">
      <c r="A48" s="22" t="s">
        <v>3</v>
      </c>
      <c r="B48" s="22" t="s">
        <v>11</v>
      </c>
      <c r="C48" s="24">
        <f>INDEX(Output!$B$3:$P$17,MATCH('Defensive Summary'!C$1,Output!$A$3:$A$17,0),MATCH('Defensive Summary'!$A48,Output!$B$2:$P$2,0))*INDEX(Output!$B$3:$P$17,MATCH('Defensive Summary'!C$1,Output!$A$3:$A$17,0),MATCH('Defensive Summary'!$B48,Output!$B$2:$P$2,0))</f>
        <v>2</v>
      </c>
      <c r="D48" s="24">
        <f>INDEX(Output!$B$3:$P$17,MATCH('Defensive Summary'!D$1,Output!$A$3:$A$17,0),MATCH('Defensive Summary'!$A48,Output!$B$2:$P$2,0))*INDEX(Output!$B$3:$P$17,MATCH('Defensive Summary'!D$1,Output!$A$3:$A$17,0),MATCH('Defensive Summary'!$B48,Output!$B$2:$P$2,0))</f>
        <v>2</v>
      </c>
      <c r="E48" s="24">
        <f>INDEX(Output!$B$3:$P$17,MATCH('Defensive Summary'!E$1,Output!$A$3:$A$17,0),MATCH('Defensive Summary'!$A48,Output!$B$2:$P$2,0))*INDEX(Output!$B$3:$P$17,MATCH('Defensive Summary'!E$1,Output!$A$3:$A$17,0),MATCH('Defensive Summary'!$B48,Output!$B$2:$P$2,0))</f>
        <v>2</v>
      </c>
      <c r="F48" s="24">
        <f>INDEX(Output!$B$3:$P$17,MATCH('Defensive Summary'!F$1,Output!$A$3:$A$17,0),MATCH('Defensive Summary'!$A48,Output!$B$2:$P$2,0))*INDEX(Output!$B$3:$P$17,MATCH('Defensive Summary'!F$1,Output!$A$3:$A$17,0),MATCH('Defensive Summary'!$B48,Output!$B$2:$P$2,0))</f>
        <v>0.5</v>
      </c>
      <c r="G48" s="24">
        <f>INDEX(Output!$B$3:$P$17,MATCH('Defensive Summary'!G$1,Output!$A$3:$A$17,0),MATCH('Defensive Summary'!$A48,Output!$B$2:$P$2,0))*INDEX(Output!$B$3:$P$17,MATCH('Defensive Summary'!G$1,Output!$A$3:$A$17,0),MATCH('Defensive Summary'!$B48,Output!$B$2:$P$2,0))</f>
        <v>0</v>
      </c>
      <c r="H48" s="24">
        <f>INDEX(Output!$B$3:$P$17,MATCH('Defensive Summary'!H$1,Output!$A$3:$A$17,0),MATCH('Defensive Summary'!$A48,Output!$B$2:$P$2,0))*INDEX(Output!$B$3:$P$17,MATCH('Defensive Summary'!H$1,Output!$A$3:$A$17,0),MATCH('Defensive Summary'!$B48,Output!$B$2:$P$2,0))</f>
        <v>0</v>
      </c>
      <c r="I48" s="24">
        <f>INDEX(Output!$B$3:$P$17,MATCH('Defensive Summary'!I$1,Output!$A$3:$A$17,0),MATCH('Defensive Summary'!$A48,Output!$B$2:$P$2,0))*INDEX(Output!$B$3:$P$17,MATCH('Defensive Summary'!I$1,Output!$A$3:$A$17,0),MATCH('Defensive Summary'!$B48,Output!$B$2:$P$2,0))</f>
        <v>0.25</v>
      </c>
      <c r="J48" s="24">
        <f>INDEX(Output!$B$3:$P$17,MATCH('Defensive Summary'!J$1,Output!$A$3:$A$17,0),MATCH('Defensive Summary'!$A48,Output!$B$2:$P$2,0))*INDEX(Output!$B$3:$P$17,MATCH('Defensive Summary'!J$1,Output!$A$3:$A$17,0),MATCH('Defensive Summary'!$B48,Output!$B$2:$P$2,0))</f>
        <v>0.5</v>
      </c>
      <c r="K48" s="24">
        <f>INDEX(Output!$B$3:$P$17,MATCH('Defensive Summary'!K$1,Output!$A$3:$A$17,0),MATCH('Defensive Summary'!$A48,Output!$B$2:$P$2,0))*INDEX(Output!$B$3:$P$17,MATCH('Defensive Summary'!K$1,Output!$A$3:$A$17,0),MATCH('Defensive Summary'!$B48,Output!$B$2:$P$2,0))</f>
        <v>0.5</v>
      </c>
      <c r="L48" s="24">
        <f>INDEX(Output!$B$3:$P$17,MATCH('Defensive Summary'!L$1,Output!$A$3:$A$17,0),MATCH('Defensive Summary'!$A48,Output!$B$2:$P$2,0))*INDEX(Output!$B$3:$P$17,MATCH('Defensive Summary'!L$1,Output!$A$3:$A$17,0),MATCH('Defensive Summary'!$B48,Output!$B$2:$P$2,0))</f>
        <v>0.5</v>
      </c>
      <c r="M48" s="24">
        <f>INDEX(Output!$B$3:$P$17,MATCH('Defensive Summary'!M$1,Output!$A$3:$A$17,0),MATCH('Defensive Summary'!$A48,Output!$B$2:$P$2,0))*INDEX(Output!$B$3:$P$17,MATCH('Defensive Summary'!M$1,Output!$A$3:$A$17,0),MATCH('Defensive Summary'!$B48,Output!$B$2:$P$2,0))</f>
        <v>1</v>
      </c>
      <c r="N48" s="24">
        <f>INDEX(Output!$B$3:$P$17,MATCH('Defensive Summary'!N$1,Output!$A$3:$A$17,0),MATCH('Defensive Summary'!$A48,Output!$B$2:$P$2,0))*INDEX(Output!$B$3:$P$17,MATCH('Defensive Summary'!N$1,Output!$A$3:$A$17,0),MATCH('Defensive Summary'!$B48,Output!$B$2:$P$2,0))</f>
        <v>0.5</v>
      </c>
      <c r="O48" s="24">
        <f>INDEX(Output!$B$3:$P$17,MATCH('Defensive Summary'!O$1,Output!$A$3:$A$17,0),MATCH('Defensive Summary'!$A48,Output!$B$2:$P$2,0))*INDEX(Output!$B$3:$P$17,MATCH('Defensive Summary'!O$1,Output!$A$3:$A$17,0),MATCH('Defensive Summary'!$B48,Output!$B$2:$P$2,0))</f>
        <v>2</v>
      </c>
      <c r="P48" s="24">
        <f>INDEX(Output!$B$3:$P$17,MATCH('Defensive Summary'!P$1,Output!$A$3:$A$17,0),MATCH('Defensive Summary'!$A48,Output!$B$2:$P$2,0))*INDEX(Output!$B$3:$P$17,MATCH('Defensive Summary'!P$1,Output!$A$3:$A$17,0),MATCH('Defensive Summary'!$B48,Output!$B$2:$P$2,0))</f>
        <v>0.5</v>
      </c>
      <c r="Q48" s="24">
        <f>INDEX(Output!$B$3:$P$17,MATCH('Defensive Summary'!Q$1,Output!$A$3:$A$17,0),MATCH('Defensive Summary'!$A48,Output!$B$2:$P$2,0))*INDEX(Output!$B$3:$P$17,MATCH('Defensive Summary'!Q$1,Output!$A$3:$A$17,0),MATCH('Defensive Summary'!$B48,Output!$B$2:$P$2,0))</f>
        <v>1</v>
      </c>
      <c r="R48" s="24"/>
      <c r="S48" s="25">
        <f t="shared" si="0"/>
        <v>12</v>
      </c>
      <c r="T48" s="22" t="s">
        <v>3</v>
      </c>
      <c r="U48" s="22" t="s">
        <v>11</v>
      </c>
      <c r="V48" s="24" cm="1">
        <f t="array" ref="V48">_xlfn.IFS(C48=1,0,C48=2,-1,C48=4,-2,C48=0.5,1,C48=0.25,2,C48=0,4)</f>
        <v>-1</v>
      </c>
      <c r="W48" s="24" cm="1">
        <f t="array" ref="W48">_xlfn.IFS(D48=1,0,D48=2,-1,D48=4,-2,D48=0.5,1,D48=0.25,2,D48=0,4)</f>
        <v>-1</v>
      </c>
      <c r="X48" s="24" cm="1">
        <f t="array" ref="X48">_xlfn.IFS(E48=1,0,E48=2,-1,E48=4,-2,E48=0.5,1,E48=0.25,2,E48=0,4)</f>
        <v>-1</v>
      </c>
      <c r="Y48" s="24" cm="1">
        <f t="array" ref="Y48">_xlfn.IFS(F48=1,0,F48=2,-1,F48=4,-2,F48=0.5,1,F48=0.25,2,F48=0,4)</f>
        <v>1</v>
      </c>
      <c r="Z48" s="24" cm="1">
        <f t="array" ref="Z48">_xlfn.IFS(G48=1,0,G48=2,-1,G48=4,-2,G48=0.5,1,G48=0.25,2,G48=0,4)</f>
        <v>4</v>
      </c>
      <c r="AA48" s="24" cm="1">
        <f t="array" ref="AA48">_xlfn.IFS(H48=1,0,H48=2,-1,H48=4,-2,H48=0.5,1,H48=0.25,2,H48=0,4)</f>
        <v>4</v>
      </c>
      <c r="AB48" s="24" cm="1">
        <f t="array" ref="AB48">_xlfn.IFS(I48=1,0,I48=2,-1,I48=4,-2,I48=0.5,1,I48=0.25,2,I48=0,4)</f>
        <v>2</v>
      </c>
      <c r="AC48" s="24" cm="1">
        <f t="array" ref="AC48">_xlfn.IFS(J48=1,0,J48=2,-1,J48=4,-2,J48=0.5,1,J48=0.25,2,J48=0,4)</f>
        <v>1</v>
      </c>
      <c r="AD48" s="24" cm="1">
        <f t="array" ref="AD48">_xlfn.IFS(K48=1,0,K48=2,-1,K48=4,-2,K48=0.5,1,K48=0.25,2,K48=0,4)</f>
        <v>1</v>
      </c>
      <c r="AE48" s="24" cm="1">
        <f t="array" ref="AE48">_xlfn.IFS(L48=1,0,L48=2,-1,L48=4,-2,L48=0.5,1,L48=0.25,2,L48=0,4)</f>
        <v>1</v>
      </c>
      <c r="AF48" s="24" cm="1">
        <f t="array" ref="AF48">_xlfn.IFS(M48=1,0,M48=2,-1,M48=4,-2,M48=0.5,1,M48=0.25,2,M48=0,4)</f>
        <v>0</v>
      </c>
      <c r="AG48" s="24" cm="1">
        <f t="array" ref="AG48">_xlfn.IFS(N48=1,0,N48=2,-1,N48=4,-2,N48=0.5,1,N48=0.25,2,N48=0,4)</f>
        <v>1</v>
      </c>
      <c r="AH48" s="24" cm="1">
        <f t="array" ref="AH48">_xlfn.IFS(O48=1,0,O48=2,-1,O48=4,-2,O48=0.5,1,O48=0.25,2,O48=0,4)</f>
        <v>-1</v>
      </c>
      <c r="AI48" s="24" cm="1">
        <f t="array" ref="AI48">_xlfn.IFS(P48=1,0,P48=2,-1,P48=4,-2,P48=0.5,1,P48=0.25,2,P48=0,4)</f>
        <v>1</v>
      </c>
      <c r="AJ48" s="24" cm="1">
        <f t="array" ref="AJ48">_xlfn.IFS(Q48=1,0,Q48=2,-1,Q48=4,-2,Q48=0.5,1,Q48=0.25,2,Q48=0,4)</f>
        <v>0</v>
      </c>
    </row>
    <row r="49" spans="1:36" x14ac:dyDescent="0.2">
      <c r="A49" s="22" t="s">
        <v>3</v>
      </c>
      <c r="B49" s="22" t="s">
        <v>12</v>
      </c>
      <c r="C49" s="24">
        <f>INDEX(Output!$B$3:$P$17,MATCH('Defensive Summary'!C$1,Output!$A$3:$A$17,0),MATCH('Defensive Summary'!$A49,Output!$B$2:$P$2,0))*INDEX(Output!$B$3:$P$17,MATCH('Defensive Summary'!C$1,Output!$A$3:$A$17,0),MATCH('Defensive Summary'!$B49,Output!$B$2:$P$2,0))</f>
        <v>4</v>
      </c>
      <c r="D49" s="24">
        <f>INDEX(Output!$B$3:$P$17,MATCH('Defensive Summary'!D$1,Output!$A$3:$A$17,0),MATCH('Defensive Summary'!$A49,Output!$B$2:$P$2,0))*INDEX(Output!$B$3:$P$17,MATCH('Defensive Summary'!D$1,Output!$A$3:$A$17,0),MATCH('Defensive Summary'!$B49,Output!$B$2:$P$2,0))</f>
        <v>4</v>
      </c>
      <c r="E49" s="24">
        <f>INDEX(Output!$B$3:$P$17,MATCH('Defensive Summary'!E$1,Output!$A$3:$A$17,0),MATCH('Defensive Summary'!$A49,Output!$B$2:$P$2,0))*INDEX(Output!$B$3:$P$17,MATCH('Defensive Summary'!E$1,Output!$A$3:$A$17,0),MATCH('Defensive Summary'!$B49,Output!$B$2:$P$2,0))</f>
        <v>4</v>
      </c>
      <c r="F49" s="24">
        <f>INDEX(Output!$B$3:$P$17,MATCH('Defensive Summary'!F$1,Output!$A$3:$A$17,0),MATCH('Defensive Summary'!$A49,Output!$B$2:$P$2,0))*INDEX(Output!$B$3:$P$17,MATCH('Defensive Summary'!F$1,Output!$A$3:$A$17,0),MATCH('Defensive Summary'!$B49,Output!$B$2:$P$2,0))</f>
        <v>0.5</v>
      </c>
      <c r="G49" s="24">
        <f>INDEX(Output!$B$3:$P$17,MATCH('Defensive Summary'!G$1,Output!$A$3:$A$17,0),MATCH('Defensive Summary'!$A49,Output!$B$2:$P$2,0))*INDEX(Output!$B$3:$P$17,MATCH('Defensive Summary'!G$1,Output!$A$3:$A$17,0),MATCH('Defensive Summary'!$B49,Output!$B$2:$P$2,0))</f>
        <v>0</v>
      </c>
      <c r="H49" s="24">
        <f>INDEX(Output!$B$3:$P$17,MATCH('Defensive Summary'!H$1,Output!$A$3:$A$17,0),MATCH('Defensive Summary'!$A49,Output!$B$2:$P$2,0))*INDEX(Output!$B$3:$P$17,MATCH('Defensive Summary'!H$1,Output!$A$3:$A$17,0),MATCH('Defensive Summary'!$B49,Output!$B$2:$P$2,0))</f>
        <v>0</v>
      </c>
      <c r="I49" s="24">
        <f>INDEX(Output!$B$3:$P$17,MATCH('Defensive Summary'!I$1,Output!$A$3:$A$17,0),MATCH('Defensive Summary'!$A49,Output!$B$2:$P$2,0))*INDEX(Output!$B$3:$P$17,MATCH('Defensive Summary'!I$1,Output!$A$3:$A$17,0),MATCH('Defensive Summary'!$B49,Output!$B$2:$P$2,0))</f>
        <v>1</v>
      </c>
      <c r="J49" s="24">
        <f>INDEX(Output!$B$3:$P$17,MATCH('Defensive Summary'!J$1,Output!$A$3:$A$17,0),MATCH('Defensive Summary'!$A49,Output!$B$2:$P$2,0))*INDEX(Output!$B$3:$P$17,MATCH('Defensive Summary'!J$1,Output!$A$3:$A$17,0),MATCH('Defensive Summary'!$B49,Output!$B$2:$P$2,0))</f>
        <v>0.25</v>
      </c>
      <c r="K49" s="24">
        <f>INDEX(Output!$B$3:$P$17,MATCH('Defensive Summary'!K$1,Output!$A$3:$A$17,0),MATCH('Defensive Summary'!$A49,Output!$B$2:$P$2,0))*INDEX(Output!$B$3:$P$17,MATCH('Defensive Summary'!K$1,Output!$A$3:$A$17,0),MATCH('Defensive Summary'!$B49,Output!$B$2:$P$2,0))</f>
        <v>0.5</v>
      </c>
      <c r="L49" s="24">
        <f>INDEX(Output!$B$3:$P$17,MATCH('Defensive Summary'!L$1,Output!$A$3:$A$17,0),MATCH('Defensive Summary'!$A49,Output!$B$2:$P$2,0))*INDEX(Output!$B$3:$P$17,MATCH('Defensive Summary'!L$1,Output!$A$3:$A$17,0),MATCH('Defensive Summary'!$B49,Output!$B$2:$P$2,0))</f>
        <v>1</v>
      </c>
      <c r="M49" s="24">
        <f>INDEX(Output!$B$3:$P$17,MATCH('Defensive Summary'!M$1,Output!$A$3:$A$17,0),MATCH('Defensive Summary'!$A49,Output!$B$2:$P$2,0))*INDEX(Output!$B$3:$P$17,MATCH('Defensive Summary'!M$1,Output!$A$3:$A$17,0),MATCH('Defensive Summary'!$B49,Output!$B$2:$P$2,0))</f>
        <v>1</v>
      </c>
      <c r="N49" s="24">
        <f>INDEX(Output!$B$3:$P$17,MATCH('Defensive Summary'!N$1,Output!$A$3:$A$17,0),MATCH('Defensive Summary'!$A49,Output!$B$2:$P$2,0))*INDEX(Output!$B$3:$P$17,MATCH('Defensive Summary'!N$1,Output!$A$3:$A$17,0),MATCH('Defensive Summary'!$B49,Output!$B$2:$P$2,0))</f>
        <v>0</v>
      </c>
      <c r="O49" s="24">
        <f>INDEX(Output!$B$3:$P$17,MATCH('Defensive Summary'!O$1,Output!$A$3:$A$17,0),MATCH('Defensive Summary'!$A49,Output!$B$2:$P$2,0))*INDEX(Output!$B$3:$P$17,MATCH('Defensive Summary'!O$1,Output!$A$3:$A$17,0),MATCH('Defensive Summary'!$B49,Output!$B$2:$P$2,0))</f>
        <v>0.5</v>
      </c>
      <c r="P49" s="24">
        <f>INDEX(Output!$B$3:$P$17,MATCH('Defensive Summary'!P$1,Output!$A$3:$A$17,0),MATCH('Defensive Summary'!$A49,Output!$B$2:$P$2,0))*INDEX(Output!$B$3:$P$17,MATCH('Defensive Summary'!P$1,Output!$A$3:$A$17,0),MATCH('Defensive Summary'!$B49,Output!$B$2:$P$2,0))</f>
        <v>0</v>
      </c>
      <c r="Q49" s="24">
        <f>INDEX(Output!$B$3:$P$17,MATCH('Defensive Summary'!Q$1,Output!$A$3:$A$17,0),MATCH('Defensive Summary'!$A49,Output!$B$2:$P$2,0))*INDEX(Output!$B$3:$P$17,MATCH('Defensive Summary'!Q$1,Output!$A$3:$A$17,0),MATCH('Defensive Summary'!$B49,Output!$B$2:$P$2,0))</f>
        <v>1</v>
      </c>
      <c r="R49" s="24"/>
      <c r="S49" s="25">
        <f t="shared" si="0"/>
        <v>15</v>
      </c>
      <c r="T49" s="22" t="s">
        <v>3</v>
      </c>
      <c r="U49" s="22" t="s">
        <v>12</v>
      </c>
      <c r="V49" s="24" cm="1">
        <f t="array" ref="V49">_xlfn.IFS(C49=1,0,C49=2,-1,C49=4,-2,C49=0.5,1,C49=0.25,2,C49=0,4)</f>
        <v>-2</v>
      </c>
      <c r="W49" s="24" cm="1">
        <f t="array" ref="W49">_xlfn.IFS(D49=1,0,D49=2,-1,D49=4,-2,D49=0.5,1,D49=0.25,2,D49=0,4)</f>
        <v>-2</v>
      </c>
      <c r="X49" s="24" cm="1">
        <f t="array" ref="X49">_xlfn.IFS(E49=1,0,E49=2,-1,E49=4,-2,E49=0.5,1,E49=0.25,2,E49=0,4)</f>
        <v>-2</v>
      </c>
      <c r="Y49" s="24" cm="1">
        <f t="array" ref="Y49">_xlfn.IFS(F49=1,0,F49=2,-1,F49=4,-2,F49=0.5,1,F49=0.25,2,F49=0,4)</f>
        <v>1</v>
      </c>
      <c r="Z49" s="24" cm="1">
        <f t="array" ref="Z49">_xlfn.IFS(G49=1,0,G49=2,-1,G49=4,-2,G49=0.5,1,G49=0.25,2,G49=0,4)</f>
        <v>4</v>
      </c>
      <c r="AA49" s="24" cm="1">
        <f t="array" ref="AA49">_xlfn.IFS(H49=1,0,H49=2,-1,H49=4,-2,H49=0.5,1,H49=0.25,2,H49=0,4)</f>
        <v>4</v>
      </c>
      <c r="AB49" s="24" cm="1">
        <f t="array" ref="AB49">_xlfn.IFS(I49=1,0,I49=2,-1,I49=4,-2,I49=0.5,1,I49=0.25,2,I49=0,4)</f>
        <v>0</v>
      </c>
      <c r="AC49" s="24" cm="1">
        <f t="array" ref="AC49">_xlfn.IFS(J49=1,0,J49=2,-1,J49=4,-2,J49=0.5,1,J49=0.25,2,J49=0,4)</f>
        <v>2</v>
      </c>
      <c r="AD49" s="24" cm="1">
        <f t="array" ref="AD49">_xlfn.IFS(K49=1,0,K49=2,-1,K49=4,-2,K49=0.5,1,K49=0.25,2,K49=0,4)</f>
        <v>1</v>
      </c>
      <c r="AE49" s="24" cm="1">
        <f t="array" ref="AE49">_xlfn.IFS(L49=1,0,L49=2,-1,L49=4,-2,L49=0.5,1,L49=0.25,2,L49=0,4)</f>
        <v>0</v>
      </c>
      <c r="AF49" s="24" cm="1">
        <f t="array" ref="AF49">_xlfn.IFS(M49=1,0,M49=2,-1,M49=4,-2,M49=0.5,1,M49=0.25,2,M49=0,4)</f>
        <v>0</v>
      </c>
      <c r="AG49" s="24" cm="1">
        <f t="array" ref="AG49">_xlfn.IFS(N49=1,0,N49=2,-1,N49=4,-2,N49=0.5,1,N49=0.25,2,N49=0,4)</f>
        <v>4</v>
      </c>
      <c r="AH49" s="24" cm="1">
        <f t="array" ref="AH49">_xlfn.IFS(O49=1,0,O49=2,-1,O49=4,-2,O49=0.5,1,O49=0.25,2,O49=0,4)</f>
        <v>1</v>
      </c>
      <c r="AI49" s="24" cm="1">
        <f t="array" ref="AI49">_xlfn.IFS(P49=1,0,P49=2,-1,P49=4,-2,P49=0.5,1,P49=0.25,2,P49=0,4)</f>
        <v>4</v>
      </c>
      <c r="AJ49" s="24" cm="1">
        <f t="array" ref="AJ49">_xlfn.IFS(Q49=1,0,Q49=2,-1,Q49=4,-2,Q49=0.5,1,Q49=0.25,2,Q49=0,4)</f>
        <v>0</v>
      </c>
    </row>
    <row r="50" spans="1:36" x14ac:dyDescent="0.2">
      <c r="A50" s="22" t="s">
        <v>3</v>
      </c>
      <c r="B50" s="22" t="s">
        <v>13</v>
      </c>
      <c r="C50" s="24">
        <f>INDEX(Output!$B$3:$P$17,MATCH('Defensive Summary'!C$1,Output!$A$3:$A$17,0),MATCH('Defensive Summary'!$A50,Output!$B$2:$P$2,0))*INDEX(Output!$B$3:$P$17,MATCH('Defensive Summary'!C$1,Output!$A$3:$A$17,0),MATCH('Defensive Summary'!$B50,Output!$B$2:$P$2,0))</f>
        <v>2</v>
      </c>
      <c r="D50" s="24">
        <f>INDEX(Output!$B$3:$P$17,MATCH('Defensive Summary'!D$1,Output!$A$3:$A$17,0),MATCH('Defensive Summary'!$A50,Output!$B$2:$P$2,0))*INDEX(Output!$B$3:$P$17,MATCH('Defensive Summary'!D$1,Output!$A$3:$A$17,0),MATCH('Defensive Summary'!$B50,Output!$B$2:$P$2,0))</f>
        <v>1</v>
      </c>
      <c r="E50" s="24">
        <f>INDEX(Output!$B$3:$P$17,MATCH('Defensive Summary'!E$1,Output!$A$3:$A$17,0),MATCH('Defensive Summary'!$A50,Output!$B$2:$P$2,0))*INDEX(Output!$B$3:$P$17,MATCH('Defensive Summary'!E$1,Output!$A$3:$A$17,0),MATCH('Defensive Summary'!$B50,Output!$B$2:$P$2,0))</f>
        <v>2</v>
      </c>
      <c r="F50" s="24">
        <f>INDEX(Output!$B$3:$P$17,MATCH('Defensive Summary'!F$1,Output!$A$3:$A$17,0),MATCH('Defensive Summary'!$A50,Output!$B$2:$P$2,0))*INDEX(Output!$B$3:$P$17,MATCH('Defensive Summary'!F$1,Output!$A$3:$A$17,0),MATCH('Defensive Summary'!$B50,Output!$B$2:$P$2,0))</f>
        <v>0.5</v>
      </c>
      <c r="G50" s="24">
        <f>INDEX(Output!$B$3:$P$17,MATCH('Defensive Summary'!G$1,Output!$A$3:$A$17,0),MATCH('Defensive Summary'!$A50,Output!$B$2:$P$2,0))*INDEX(Output!$B$3:$P$17,MATCH('Defensive Summary'!G$1,Output!$A$3:$A$17,0),MATCH('Defensive Summary'!$B50,Output!$B$2:$P$2,0))</f>
        <v>0</v>
      </c>
      <c r="H50" s="24">
        <f>INDEX(Output!$B$3:$P$17,MATCH('Defensive Summary'!H$1,Output!$A$3:$A$17,0),MATCH('Defensive Summary'!$A50,Output!$B$2:$P$2,0))*INDEX(Output!$B$3:$P$17,MATCH('Defensive Summary'!H$1,Output!$A$3:$A$17,0),MATCH('Defensive Summary'!$B50,Output!$B$2:$P$2,0))</f>
        <v>0</v>
      </c>
      <c r="I50" s="24">
        <f>INDEX(Output!$B$3:$P$17,MATCH('Defensive Summary'!I$1,Output!$A$3:$A$17,0),MATCH('Defensive Summary'!$A50,Output!$B$2:$P$2,0))*INDEX(Output!$B$3:$P$17,MATCH('Defensive Summary'!I$1,Output!$A$3:$A$17,0),MATCH('Defensive Summary'!$B50,Output!$B$2:$P$2,0))</f>
        <v>0.25</v>
      </c>
      <c r="J50" s="24">
        <f>INDEX(Output!$B$3:$P$17,MATCH('Defensive Summary'!J$1,Output!$A$3:$A$17,0),MATCH('Defensive Summary'!$A50,Output!$B$2:$P$2,0))*INDEX(Output!$B$3:$P$17,MATCH('Defensive Summary'!J$1,Output!$A$3:$A$17,0),MATCH('Defensive Summary'!$B50,Output!$B$2:$P$2,0))</f>
        <v>0.5</v>
      </c>
      <c r="K50" s="24">
        <f>INDEX(Output!$B$3:$P$17,MATCH('Defensive Summary'!K$1,Output!$A$3:$A$17,0),MATCH('Defensive Summary'!$A50,Output!$B$2:$P$2,0))*INDEX(Output!$B$3:$P$17,MATCH('Defensive Summary'!K$1,Output!$A$3:$A$17,0),MATCH('Defensive Summary'!$B50,Output!$B$2:$P$2,0))</f>
        <v>1</v>
      </c>
      <c r="L50" s="24">
        <f>INDEX(Output!$B$3:$P$17,MATCH('Defensive Summary'!L$1,Output!$A$3:$A$17,0),MATCH('Defensive Summary'!$A50,Output!$B$2:$P$2,0))*INDEX(Output!$B$3:$P$17,MATCH('Defensive Summary'!L$1,Output!$A$3:$A$17,0),MATCH('Defensive Summary'!$B50,Output!$B$2:$P$2,0))</f>
        <v>0.5</v>
      </c>
      <c r="M50" s="24">
        <f>INDEX(Output!$B$3:$P$17,MATCH('Defensive Summary'!M$1,Output!$A$3:$A$17,0),MATCH('Defensive Summary'!$A50,Output!$B$2:$P$2,0))*INDEX(Output!$B$3:$P$17,MATCH('Defensive Summary'!M$1,Output!$A$3:$A$17,0),MATCH('Defensive Summary'!$B50,Output!$B$2:$P$2,0))</f>
        <v>0.5</v>
      </c>
      <c r="N50" s="24">
        <f>INDEX(Output!$B$3:$P$17,MATCH('Defensive Summary'!N$1,Output!$A$3:$A$17,0),MATCH('Defensive Summary'!$A50,Output!$B$2:$P$2,0))*INDEX(Output!$B$3:$P$17,MATCH('Defensive Summary'!N$1,Output!$A$3:$A$17,0),MATCH('Defensive Summary'!$B50,Output!$B$2:$P$2,0))</f>
        <v>0.5</v>
      </c>
      <c r="O50" s="24">
        <f>INDEX(Output!$B$3:$P$17,MATCH('Defensive Summary'!O$1,Output!$A$3:$A$17,0),MATCH('Defensive Summary'!$A50,Output!$B$2:$P$2,0))*INDEX(Output!$B$3:$P$17,MATCH('Defensive Summary'!O$1,Output!$A$3:$A$17,0),MATCH('Defensive Summary'!$B50,Output!$B$2:$P$2,0))</f>
        <v>2</v>
      </c>
      <c r="P50" s="24">
        <f>INDEX(Output!$B$3:$P$17,MATCH('Defensive Summary'!P$1,Output!$A$3:$A$17,0),MATCH('Defensive Summary'!$A50,Output!$B$2:$P$2,0))*INDEX(Output!$B$3:$P$17,MATCH('Defensive Summary'!P$1,Output!$A$3:$A$17,0),MATCH('Defensive Summary'!$B50,Output!$B$2:$P$2,0))</f>
        <v>0.5</v>
      </c>
      <c r="Q50" s="24">
        <f>INDEX(Output!$B$3:$P$17,MATCH('Defensive Summary'!Q$1,Output!$A$3:$A$17,0),MATCH('Defensive Summary'!$A50,Output!$B$2:$P$2,0))*INDEX(Output!$B$3:$P$17,MATCH('Defensive Summary'!Q$1,Output!$A$3:$A$17,0),MATCH('Defensive Summary'!$B50,Output!$B$2:$P$2,0))</f>
        <v>1</v>
      </c>
      <c r="R50" s="24"/>
      <c r="S50" s="25">
        <f t="shared" si="0"/>
        <v>13</v>
      </c>
      <c r="T50" s="22" t="s">
        <v>3</v>
      </c>
      <c r="U50" s="22" t="s">
        <v>13</v>
      </c>
      <c r="V50" s="24" cm="1">
        <f t="array" ref="V50">_xlfn.IFS(C50=1,0,C50=2,-1,C50=4,-2,C50=0.5,1,C50=0.25,2,C50=0,4)</f>
        <v>-1</v>
      </c>
      <c r="W50" s="24" cm="1">
        <f t="array" ref="W50">_xlfn.IFS(D50=1,0,D50=2,-1,D50=4,-2,D50=0.5,1,D50=0.25,2,D50=0,4)</f>
        <v>0</v>
      </c>
      <c r="X50" s="24" cm="1">
        <f t="array" ref="X50">_xlfn.IFS(E50=1,0,E50=2,-1,E50=4,-2,E50=0.5,1,E50=0.25,2,E50=0,4)</f>
        <v>-1</v>
      </c>
      <c r="Y50" s="24" cm="1">
        <f t="array" ref="Y50">_xlfn.IFS(F50=1,0,F50=2,-1,F50=4,-2,F50=0.5,1,F50=0.25,2,F50=0,4)</f>
        <v>1</v>
      </c>
      <c r="Z50" s="24" cm="1">
        <f t="array" ref="Z50">_xlfn.IFS(G50=1,0,G50=2,-1,G50=4,-2,G50=0.5,1,G50=0.25,2,G50=0,4)</f>
        <v>4</v>
      </c>
      <c r="AA50" s="24" cm="1">
        <f t="array" ref="AA50">_xlfn.IFS(H50=1,0,H50=2,-1,H50=4,-2,H50=0.5,1,H50=0.25,2,H50=0,4)</f>
        <v>4</v>
      </c>
      <c r="AB50" s="24" cm="1">
        <f t="array" ref="AB50">_xlfn.IFS(I50=1,0,I50=2,-1,I50=4,-2,I50=0.5,1,I50=0.25,2,I50=0,4)</f>
        <v>2</v>
      </c>
      <c r="AC50" s="24" cm="1">
        <f t="array" ref="AC50">_xlfn.IFS(J50=1,0,J50=2,-1,J50=4,-2,J50=0.5,1,J50=0.25,2,J50=0,4)</f>
        <v>1</v>
      </c>
      <c r="AD50" s="24" cm="1">
        <f t="array" ref="AD50">_xlfn.IFS(K50=1,0,K50=2,-1,K50=4,-2,K50=0.5,1,K50=0.25,2,K50=0,4)</f>
        <v>0</v>
      </c>
      <c r="AE50" s="24" cm="1">
        <f t="array" ref="AE50">_xlfn.IFS(L50=1,0,L50=2,-1,L50=4,-2,L50=0.5,1,L50=0.25,2,L50=0,4)</f>
        <v>1</v>
      </c>
      <c r="AF50" s="24" cm="1">
        <f t="array" ref="AF50">_xlfn.IFS(M50=1,0,M50=2,-1,M50=4,-2,M50=0.5,1,M50=0.25,2,M50=0,4)</f>
        <v>1</v>
      </c>
      <c r="AG50" s="24" cm="1">
        <f t="array" ref="AG50">_xlfn.IFS(N50=1,0,N50=2,-1,N50=4,-2,N50=0.5,1,N50=0.25,2,N50=0,4)</f>
        <v>1</v>
      </c>
      <c r="AH50" s="24" cm="1">
        <f t="array" ref="AH50">_xlfn.IFS(O50=1,0,O50=2,-1,O50=4,-2,O50=0.5,1,O50=0.25,2,O50=0,4)</f>
        <v>-1</v>
      </c>
      <c r="AI50" s="24" cm="1">
        <f t="array" ref="AI50">_xlfn.IFS(P50=1,0,P50=2,-1,P50=4,-2,P50=0.5,1,P50=0.25,2,P50=0,4)</f>
        <v>1</v>
      </c>
      <c r="AJ50" s="24" cm="1">
        <f t="array" ref="AJ50">_xlfn.IFS(Q50=1,0,Q50=2,-1,Q50=4,-2,Q50=0.5,1,Q50=0.25,2,Q50=0,4)</f>
        <v>0</v>
      </c>
    </row>
    <row r="51" spans="1:36" x14ac:dyDescent="0.2">
      <c r="A51" s="22" t="s">
        <v>3</v>
      </c>
      <c r="B51" s="22" t="s">
        <v>14</v>
      </c>
      <c r="C51" s="24">
        <f>INDEX(Output!$B$3:$P$17,MATCH('Defensive Summary'!C$1,Output!$A$3:$A$17,0),MATCH('Defensive Summary'!$A51,Output!$B$2:$P$2,0))*INDEX(Output!$B$3:$P$17,MATCH('Defensive Summary'!C$1,Output!$A$3:$A$17,0),MATCH('Defensive Summary'!$B51,Output!$B$2:$P$2,0))</f>
        <v>2</v>
      </c>
      <c r="D51" s="24">
        <f>INDEX(Output!$B$3:$P$17,MATCH('Defensive Summary'!D$1,Output!$A$3:$A$17,0),MATCH('Defensive Summary'!$A51,Output!$B$2:$P$2,0))*INDEX(Output!$B$3:$P$17,MATCH('Defensive Summary'!D$1,Output!$A$3:$A$17,0),MATCH('Defensive Summary'!$B51,Output!$B$2:$P$2,0))</f>
        <v>2</v>
      </c>
      <c r="E51" s="24">
        <f>INDEX(Output!$B$3:$P$17,MATCH('Defensive Summary'!E$1,Output!$A$3:$A$17,0),MATCH('Defensive Summary'!$A51,Output!$B$2:$P$2,0))*INDEX(Output!$B$3:$P$17,MATCH('Defensive Summary'!E$1,Output!$A$3:$A$17,0),MATCH('Defensive Summary'!$B51,Output!$B$2:$P$2,0))</f>
        <v>2</v>
      </c>
      <c r="F51" s="24">
        <f>INDEX(Output!$B$3:$P$17,MATCH('Defensive Summary'!F$1,Output!$A$3:$A$17,0),MATCH('Defensive Summary'!$A51,Output!$B$2:$P$2,0))*INDEX(Output!$B$3:$P$17,MATCH('Defensive Summary'!F$1,Output!$A$3:$A$17,0),MATCH('Defensive Summary'!$B51,Output!$B$2:$P$2,0))</f>
        <v>0.5</v>
      </c>
      <c r="G51" s="24">
        <f>INDEX(Output!$B$3:$P$17,MATCH('Defensive Summary'!G$1,Output!$A$3:$A$17,0),MATCH('Defensive Summary'!$A51,Output!$B$2:$P$2,0))*INDEX(Output!$B$3:$P$17,MATCH('Defensive Summary'!G$1,Output!$A$3:$A$17,0),MATCH('Defensive Summary'!$B51,Output!$B$2:$P$2,0))</f>
        <v>0</v>
      </c>
      <c r="H51" s="24">
        <f>INDEX(Output!$B$3:$P$17,MATCH('Defensive Summary'!H$1,Output!$A$3:$A$17,0),MATCH('Defensive Summary'!$A51,Output!$B$2:$P$2,0))*INDEX(Output!$B$3:$P$17,MATCH('Defensive Summary'!H$1,Output!$A$3:$A$17,0),MATCH('Defensive Summary'!$B51,Output!$B$2:$P$2,0))</f>
        <v>0</v>
      </c>
      <c r="I51" s="24">
        <f>INDEX(Output!$B$3:$P$17,MATCH('Defensive Summary'!I$1,Output!$A$3:$A$17,0),MATCH('Defensive Summary'!$A51,Output!$B$2:$P$2,0))*INDEX(Output!$B$3:$P$17,MATCH('Defensive Summary'!I$1,Output!$A$3:$A$17,0),MATCH('Defensive Summary'!$B51,Output!$B$2:$P$2,0))</f>
        <v>0.5</v>
      </c>
      <c r="J51" s="24">
        <f>INDEX(Output!$B$3:$P$17,MATCH('Defensive Summary'!J$1,Output!$A$3:$A$17,0),MATCH('Defensive Summary'!$A51,Output!$B$2:$P$2,0))*INDEX(Output!$B$3:$P$17,MATCH('Defensive Summary'!J$1,Output!$A$3:$A$17,0),MATCH('Defensive Summary'!$B51,Output!$B$2:$P$2,0))</f>
        <v>0.5</v>
      </c>
      <c r="K51" s="24">
        <f>INDEX(Output!$B$3:$P$17,MATCH('Defensive Summary'!K$1,Output!$A$3:$A$17,0),MATCH('Defensive Summary'!$A51,Output!$B$2:$P$2,0))*INDEX(Output!$B$3:$P$17,MATCH('Defensive Summary'!K$1,Output!$A$3:$A$17,0),MATCH('Defensive Summary'!$B51,Output!$B$2:$P$2,0))</f>
        <v>0.5</v>
      </c>
      <c r="L51" s="24">
        <f>INDEX(Output!$B$3:$P$17,MATCH('Defensive Summary'!L$1,Output!$A$3:$A$17,0),MATCH('Defensive Summary'!$A51,Output!$B$2:$P$2,0))*INDEX(Output!$B$3:$P$17,MATCH('Defensive Summary'!L$1,Output!$A$3:$A$17,0),MATCH('Defensive Summary'!$B51,Output!$B$2:$P$2,0))</f>
        <v>0.5</v>
      </c>
      <c r="M51" s="24">
        <f>INDEX(Output!$B$3:$P$17,MATCH('Defensive Summary'!M$1,Output!$A$3:$A$17,0),MATCH('Defensive Summary'!$A51,Output!$B$2:$P$2,0))*INDEX(Output!$B$3:$P$17,MATCH('Defensive Summary'!M$1,Output!$A$3:$A$17,0),MATCH('Defensive Summary'!$B51,Output!$B$2:$P$2,0))</f>
        <v>1</v>
      </c>
      <c r="N51" s="24">
        <f>INDEX(Output!$B$3:$P$17,MATCH('Defensive Summary'!N$1,Output!$A$3:$A$17,0),MATCH('Defensive Summary'!$A51,Output!$B$2:$P$2,0))*INDEX(Output!$B$3:$P$17,MATCH('Defensive Summary'!N$1,Output!$A$3:$A$17,0),MATCH('Defensive Summary'!$B51,Output!$B$2:$P$2,0))</f>
        <v>1</v>
      </c>
      <c r="O51" s="24">
        <f>INDEX(Output!$B$3:$P$17,MATCH('Defensive Summary'!O$1,Output!$A$3:$A$17,0),MATCH('Defensive Summary'!$A51,Output!$B$2:$P$2,0))*INDEX(Output!$B$3:$P$17,MATCH('Defensive Summary'!O$1,Output!$A$3:$A$17,0),MATCH('Defensive Summary'!$B51,Output!$B$2:$P$2,0))</f>
        <v>1</v>
      </c>
      <c r="P51" s="24">
        <f>INDEX(Output!$B$3:$P$17,MATCH('Defensive Summary'!P$1,Output!$A$3:$A$17,0),MATCH('Defensive Summary'!$A51,Output!$B$2:$P$2,0))*INDEX(Output!$B$3:$P$17,MATCH('Defensive Summary'!P$1,Output!$A$3:$A$17,0),MATCH('Defensive Summary'!$B51,Output!$B$2:$P$2,0))</f>
        <v>1</v>
      </c>
      <c r="Q51" s="24">
        <f>INDEX(Output!$B$3:$P$17,MATCH('Defensive Summary'!Q$1,Output!$A$3:$A$17,0),MATCH('Defensive Summary'!$A51,Output!$B$2:$P$2,0))*INDEX(Output!$B$3:$P$17,MATCH('Defensive Summary'!Q$1,Output!$A$3:$A$17,0),MATCH('Defensive Summary'!$B51,Output!$B$2:$P$2,0))</f>
        <v>1</v>
      </c>
      <c r="R51" s="24"/>
      <c r="S51" s="25">
        <f t="shared" si="0"/>
        <v>10</v>
      </c>
      <c r="T51" s="22" t="s">
        <v>3</v>
      </c>
      <c r="U51" s="22" t="s">
        <v>14</v>
      </c>
      <c r="V51" s="24" cm="1">
        <f t="array" ref="V51">_xlfn.IFS(C51=1,0,C51=2,-1,C51=4,-2,C51=0.5,1,C51=0.25,2,C51=0,4)</f>
        <v>-1</v>
      </c>
      <c r="W51" s="24" cm="1">
        <f t="array" ref="W51">_xlfn.IFS(D51=1,0,D51=2,-1,D51=4,-2,D51=0.5,1,D51=0.25,2,D51=0,4)</f>
        <v>-1</v>
      </c>
      <c r="X51" s="24" cm="1">
        <f t="array" ref="X51">_xlfn.IFS(E51=1,0,E51=2,-1,E51=4,-2,E51=0.5,1,E51=0.25,2,E51=0,4)</f>
        <v>-1</v>
      </c>
      <c r="Y51" s="24" cm="1">
        <f t="array" ref="Y51">_xlfn.IFS(F51=1,0,F51=2,-1,F51=4,-2,F51=0.5,1,F51=0.25,2,F51=0,4)</f>
        <v>1</v>
      </c>
      <c r="Z51" s="24" cm="1">
        <f t="array" ref="Z51">_xlfn.IFS(G51=1,0,G51=2,-1,G51=4,-2,G51=0.5,1,G51=0.25,2,G51=0,4)</f>
        <v>4</v>
      </c>
      <c r="AA51" s="24" cm="1">
        <f t="array" ref="AA51">_xlfn.IFS(H51=1,0,H51=2,-1,H51=4,-2,H51=0.5,1,H51=0.25,2,H51=0,4)</f>
        <v>4</v>
      </c>
      <c r="AB51" s="24" cm="1">
        <f t="array" ref="AB51">_xlfn.IFS(I51=1,0,I51=2,-1,I51=4,-2,I51=0.5,1,I51=0.25,2,I51=0,4)</f>
        <v>1</v>
      </c>
      <c r="AC51" s="24" cm="1">
        <f t="array" ref="AC51">_xlfn.IFS(J51=1,0,J51=2,-1,J51=4,-2,J51=0.5,1,J51=0.25,2,J51=0,4)</f>
        <v>1</v>
      </c>
      <c r="AD51" s="24" cm="1">
        <f t="array" ref="AD51">_xlfn.IFS(K51=1,0,K51=2,-1,K51=4,-2,K51=0.5,1,K51=0.25,2,K51=0,4)</f>
        <v>1</v>
      </c>
      <c r="AE51" s="24" cm="1">
        <f t="array" ref="AE51">_xlfn.IFS(L51=1,0,L51=2,-1,L51=4,-2,L51=0.5,1,L51=0.25,2,L51=0,4)</f>
        <v>1</v>
      </c>
      <c r="AF51" s="24" cm="1">
        <f t="array" ref="AF51">_xlfn.IFS(M51=1,0,M51=2,-1,M51=4,-2,M51=0.5,1,M51=0.25,2,M51=0,4)</f>
        <v>0</v>
      </c>
      <c r="AG51" s="24" cm="1">
        <f t="array" ref="AG51">_xlfn.IFS(N51=1,0,N51=2,-1,N51=4,-2,N51=0.5,1,N51=0.25,2,N51=0,4)</f>
        <v>0</v>
      </c>
      <c r="AH51" s="24" cm="1">
        <f t="array" ref="AH51">_xlfn.IFS(O51=1,0,O51=2,-1,O51=4,-2,O51=0.5,1,O51=0.25,2,O51=0,4)</f>
        <v>0</v>
      </c>
      <c r="AI51" s="24" cm="1">
        <f t="array" ref="AI51">_xlfn.IFS(P51=1,0,P51=2,-1,P51=4,-2,P51=0.5,1,P51=0.25,2,P51=0,4)</f>
        <v>0</v>
      </c>
      <c r="AJ51" s="24" cm="1">
        <f t="array" ref="AJ51">_xlfn.IFS(Q51=1,0,Q51=2,-1,Q51=4,-2,Q51=0.5,1,Q51=0.25,2,Q51=0,4)</f>
        <v>0</v>
      </c>
    </row>
    <row r="52" spans="1:36" x14ac:dyDescent="0.2">
      <c r="A52" s="22" t="s">
        <v>4</v>
      </c>
      <c r="B52" s="22" t="s">
        <v>96</v>
      </c>
      <c r="C52" s="24">
        <f>INDEX(Output!$B$3:$P$17,MATCH('Defensive Summary'!C$1,Output!$A$3:$A$17,0),MATCH('Defensive Summary'!$A52,Output!$B$2:$P$2,0))*INDEX(Output!$B$3:$P$17,MATCH('Defensive Summary'!C$1,Output!$A$3:$A$17,0),MATCH('Defensive Summary'!$B52,Output!$B$2:$P$2,0))</f>
        <v>0.5</v>
      </c>
      <c r="D52" s="24">
        <f>INDEX(Output!$B$3:$P$17,MATCH('Defensive Summary'!D$1,Output!$A$3:$A$17,0),MATCH('Defensive Summary'!$A52,Output!$B$2:$P$2,0))*INDEX(Output!$B$3:$P$17,MATCH('Defensive Summary'!D$1,Output!$A$3:$A$17,0),MATCH('Defensive Summary'!$B52,Output!$B$2:$P$2,0))</f>
        <v>1</v>
      </c>
      <c r="E52" s="24">
        <f>INDEX(Output!$B$3:$P$17,MATCH('Defensive Summary'!E$1,Output!$A$3:$A$17,0),MATCH('Defensive Summary'!$A52,Output!$B$2:$P$2,0))*INDEX(Output!$B$3:$P$17,MATCH('Defensive Summary'!E$1,Output!$A$3:$A$17,0),MATCH('Defensive Summary'!$B52,Output!$B$2:$P$2,0))</f>
        <v>0.5</v>
      </c>
      <c r="F52" s="24">
        <f>INDEX(Output!$B$3:$P$17,MATCH('Defensive Summary'!F$1,Output!$A$3:$A$17,0),MATCH('Defensive Summary'!$A52,Output!$B$2:$P$2,0))*INDEX(Output!$B$3:$P$17,MATCH('Defensive Summary'!F$1,Output!$A$3:$A$17,0),MATCH('Defensive Summary'!$B52,Output!$B$2:$P$2,0))</f>
        <v>0</v>
      </c>
      <c r="G52" s="24">
        <f>INDEX(Output!$B$3:$P$17,MATCH('Defensive Summary'!G$1,Output!$A$3:$A$17,0),MATCH('Defensive Summary'!$A52,Output!$B$2:$P$2,0))*INDEX(Output!$B$3:$P$17,MATCH('Defensive Summary'!G$1,Output!$A$3:$A$17,0),MATCH('Defensive Summary'!$B52,Output!$B$2:$P$2,0))</f>
        <v>0.5</v>
      </c>
      <c r="H52" s="24">
        <f>INDEX(Output!$B$3:$P$17,MATCH('Defensive Summary'!H$1,Output!$A$3:$A$17,0),MATCH('Defensive Summary'!$A52,Output!$B$2:$P$2,0))*INDEX(Output!$B$3:$P$17,MATCH('Defensive Summary'!H$1,Output!$A$3:$A$17,0),MATCH('Defensive Summary'!$B52,Output!$B$2:$P$2,0))</f>
        <v>1</v>
      </c>
      <c r="I52" s="24">
        <f>INDEX(Output!$B$3:$P$17,MATCH('Defensive Summary'!I$1,Output!$A$3:$A$17,0),MATCH('Defensive Summary'!$A52,Output!$B$2:$P$2,0))*INDEX(Output!$B$3:$P$17,MATCH('Defensive Summary'!I$1,Output!$A$3:$A$17,0),MATCH('Defensive Summary'!$B52,Output!$B$2:$P$2,0))</f>
        <v>1</v>
      </c>
      <c r="J52" s="24">
        <f>INDEX(Output!$B$3:$P$17,MATCH('Defensive Summary'!J$1,Output!$A$3:$A$17,0),MATCH('Defensive Summary'!$A52,Output!$B$2:$P$2,0))*INDEX(Output!$B$3:$P$17,MATCH('Defensive Summary'!J$1,Output!$A$3:$A$17,0),MATCH('Defensive Summary'!$B52,Output!$B$2:$P$2,0))</f>
        <v>4</v>
      </c>
      <c r="K52" s="24">
        <f>INDEX(Output!$B$3:$P$17,MATCH('Defensive Summary'!K$1,Output!$A$3:$A$17,0),MATCH('Defensive Summary'!$A52,Output!$B$2:$P$2,0))*INDEX(Output!$B$3:$P$17,MATCH('Defensive Summary'!K$1,Output!$A$3:$A$17,0),MATCH('Defensive Summary'!$B52,Output!$B$2:$P$2,0))</f>
        <v>0.5</v>
      </c>
      <c r="L52" s="24">
        <f>INDEX(Output!$B$3:$P$17,MATCH('Defensive Summary'!L$1,Output!$A$3:$A$17,0),MATCH('Defensive Summary'!$A52,Output!$B$2:$P$2,0))*INDEX(Output!$B$3:$P$17,MATCH('Defensive Summary'!L$1,Output!$A$3:$A$17,0),MATCH('Defensive Summary'!$B52,Output!$B$2:$P$2,0))</f>
        <v>2</v>
      </c>
      <c r="M52" s="24">
        <f>INDEX(Output!$B$3:$P$17,MATCH('Defensive Summary'!M$1,Output!$A$3:$A$17,0),MATCH('Defensive Summary'!$A52,Output!$B$2:$P$2,0))*INDEX(Output!$B$3:$P$17,MATCH('Defensive Summary'!M$1,Output!$A$3:$A$17,0),MATCH('Defensive Summary'!$B52,Output!$B$2:$P$2,0))</f>
        <v>1</v>
      </c>
      <c r="N52" s="24">
        <f>INDEX(Output!$B$3:$P$17,MATCH('Defensive Summary'!N$1,Output!$A$3:$A$17,0),MATCH('Defensive Summary'!$A52,Output!$B$2:$P$2,0))*INDEX(Output!$B$3:$P$17,MATCH('Defensive Summary'!N$1,Output!$A$3:$A$17,0),MATCH('Defensive Summary'!$B52,Output!$B$2:$P$2,0))</f>
        <v>2</v>
      </c>
      <c r="O52" s="24">
        <f>INDEX(Output!$B$3:$P$17,MATCH('Defensive Summary'!O$1,Output!$A$3:$A$17,0),MATCH('Defensive Summary'!$A52,Output!$B$2:$P$2,0))*INDEX(Output!$B$3:$P$17,MATCH('Defensive Summary'!O$1,Output!$A$3:$A$17,0),MATCH('Defensive Summary'!$B52,Output!$B$2:$P$2,0))</f>
        <v>1</v>
      </c>
      <c r="P52" s="24">
        <f>INDEX(Output!$B$3:$P$17,MATCH('Defensive Summary'!P$1,Output!$A$3:$A$17,0),MATCH('Defensive Summary'!$A52,Output!$B$2:$P$2,0))*INDEX(Output!$B$3:$P$17,MATCH('Defensive Summary'!P$1,Output!$A$3:$A$17,0),MATCH('Defensive Summary'!$B52,Output!$B$2:$P$2,0))</f>
        <v>2</v>
      </c>
      <c r="Q52" s="24">
        <f>INDEX(Output!$B$3:$P$17,MATCH('Defensive Summary'!Q$1,Output!$A$3:$A$17,0),MATCH('Defensive Summary'!$A52,Output!$B$2:$P$2,0))*INDEX(Output!$B$3:$P$17,MATCH('Defensive Summary'!Q$1,Output!$A$3:$A$17,0),MATCH('Defensive Summary'!$B52,Output!$B$2:$P$2,0))</f>
        <v>1</v>
      </c>
      <c r="R52" s="24"/>
      <c r="S52" s="25">
        <f t="shared" si="0"/>
        <v>3</v>
      </c>
      <c r="T52" s="22" t="s">
        <v>4</v>
      </c>
      <c r="U52" s="22" t="s">
        <v>96</v>
      </c>
      <c r="V52" s="24" cm="1">
        <f t="array" ref="V52">_xlfn.IFS(C52=1,0,C52=2,-1,C52=4,-2,C52=0.5,1,C52=0.25,2,C52=0,4)</f>
        <v>1</v>
      </c>
      <c r="W52" s="24" cm="1">
        <f t="array" ref="W52">_xlfn.IFS(D52=1,0,D52=2,-1,D52=4,-2,D52=0.5,1,D52=0.25,2,D52=0,4)</f>
        <v>0</v>
      </c>
      <c r="X52" s="24" cm="1">
        <f t="array" ref="X52">_xlfn.IFS(E52=1,0,E52=2,-1,E52=4,-2,E52=0.5,1,E52=0.25,2,E52=0,4)</f>
        <v>1</v>
      </c>
      <c r="Y52" s="24" cm="1">
        <f t="array" ref="Y52">_xlfn.IFS(F52=1,0,F52=2,-1,F52=4,-2,F52=0.5,1,F52=0.25,2,F52=0,4)</f>
        <v>4</v>
      </c>
      <c r="Z52" s="24" cm="1">
        <f t="array" ref="Z52">_xlfn.IFS(G52=1,0,G52=2,-1,G52=4,-2,G52=0.5,1,G52=0.25,2,G52=0,4)</f>
        <v>1</v>
      </c>
      <c r="AA52" s="24" cm="1">
        <f t="array" ref="AA52">_xlfn.IFS(H52=1,0,H52=2,-1,H52=4,-2,H52=0.5,1,H52=0.25,2,H52=0,4)</f>
        <v>0</v>
      </c>
      <c r="AB52" s="24" cm="1">
        <f t="array" ref="AB52">_xlfn.IFS(I52=1,0,I52=2,-1,I52=4,-2,I52=0.5,1,I52=0.25,2,I52=0,4)</f>
        <v>0</v>
      </c>
      <c r="AC52" s="24" cm="1">
        <f t="array" ref="AC52">_xlfn.IFS(J52=1,0,J52=2,-1,J52=4,-2,J52=0.5,1,J52=0.25,2,J52=0,4)</f>
        <v>-2</v>
      </c>
      <c r="AD52" s="24" cm="1">
        <f t="array" ref="AD52">_xlfn.IFS(K52=1,0,K52=2,-1,K52=4,-2,K52=0.5,1,K52=0.25,2,K52=0,4)</f>
        <v>1</v>
      </c>
      <c r="AE52" s="24" cm="1">
        <f t="array" ref="AE52">_xlfn.IFS(L52=1,0,L52=2,-1,L52=4,-2,L52=0.5,1,L52=0.25,2,L52=0,4)</f>
        <v>-1</v>
      </c>
      <c r="AF52" s="24" cm="1">
        <f t="array" ref="AF52">_xlfn.IFS(M52=1,0,M52=2,-1,M52=4,-2,M52=0.5,1,M52=0.25,2,M52=0,4)</f>
        <v>0</v>
      </c>
      <c r="AG52" s="24" cm="1">
        <f t="array" ref="AG52">_xlfn.IFS(N52=1,0,N52=2,-1,N52=4,-2,N52=0.5,1,N52=0.25,2,N52=0,4)</f>
        <v>-1</v>
      </c>
      <c r="AH52" s="24" cm="1">
        <f t="array" ref="AH52">_xlfn.IFS(O52=1,0,O52=2,-1,O52=4,-2,O52=0.5,1,O52=0.25,2,O52=0,4)</f>
        <v>0</v>
      </c>
      <c r="AI52" s="24" cm="1">
        <f t="array" ref="AI52">_xlfn.IFS(P52=1,0,P52=2,-1,P52=4,-2,P52=0.5,1,P52=0.25,2,P52=0,4)</f>
        <v>-1</v>
      </c>
      <c r="AJ52" s="24" cm="1">
        <f t="array" ref="AJ52">_xlfn.IFS(Q52=1,0,Q52=2,-1,Q52=4,-2,Q52=0.5,1,Q52=0.25,2,Q52=0,4)</f>
        <v>0</v>
      </c>
    </row>
    <row r="53" spans="1:36" x14ac:dyDescent="0.2">
      <c r="A53" s="22" t="s">
        <v>4</v>
      </c>
      <c r="B53" s="22" t="s">
        <v>6</v>
      </c>
      <c r="C53" s="24">
        <f>INDEX(Output!$B$3:$P$17,MATCH('Defensive Summary'!C$1,Output!$A$3:$A$17,0),MATCH('Defensive Summary'!$A53,Output!$B$2:$P$2,0))*INDEX(Output!$B$3:$P$17,MATCH('Defensive Summary'!C$1,Output!$A$3:$A$17,0),MATCH('Defensive Summary'!$B53,Output!$B$2:$P$2,0))</f>
        <v>1</v>
      </c>
      <c r="D53" s="24">
        <f>INDEX(Output!$B$3:$P$17,MATCH('Defensive Summary'!D$1,Output!$A$3:$A$17,0),MATCH('Defensive Summary'!$A53,Output!$B$2:$P$2,0))*INDEX(Output!$B$3:$P$17,MATCH('Defensive Summary'!D$1,Output!$A$3:$A$17,0),MATCH('Defensive Summary'!$B53,Output!$B$2:$P$2,0))</f>
        <v>0.5</v>
      </c>
      <c r="E53" s="24">
        <f>INDEX(Output!$B$3:$P$17,MATCH('Defensive Summary'!E$1,Output!$A$3:$A$17,0),MATCH('Defensive Summary'!$A53,Output!$B$2:$P$2,0))*INDEX(Output!$B$3:$P$17,MATCH('Defensive Summary'!E$1,Output!$A$3:$A$17,0),MATCH('Defensive Summary'!$B53,Output!$B$2:$P$2,0))</f>
        <v>0.25</v>
      </c>
      <c r="F53" s="24">
        <f>INDEX(Output!$B$3:$P$17,MATCH('Defensive Summary'!F$1,Output!$A$3:$A$17,0),MATCH('Defensive Summary'!$A53,Output!$B$2:$P$2,0))*INDEX(Output!$B$3:$P$17,MATCH('Defensive Summary'!F$1,Output!$A$3:$A$17,0),MATCH('Defensive Summary'!$B53,Output!$B$2:$P$2,0))</f>
        <v>0</v>
      </c>
      <c r="G53" s="24">
        <f>INDEX(Output!$B$3:$P$17,MATCH('Defensive Summary'!G$1,Output!$A$3:$A$17,0),MATCH('Defensive Summary'!$A53,Output!$B$2:$P$2,0))*INDEX(Output!$B$3:$P$17,MATCH('Defensive Summary'!G$1,Output!$A$3:$A$17,0),MATCH('Defensive Summary'!$B53,Output!$B$2:$P$2,0))</f>
        <v>1</v>
      </c>
      <c r="H53" s="24">
        <f>INDEX(Output!$B$3:$P$17,MATCH('Defensive Summary'!H$1,Output!$A$3:$A$17,0),MATCH('Defensive Summary'!$A53,Output!$B$2:$P$2,0))*INDEX(Output!$B$3:$P$17,MATCH('Defensive Summary'!H$1,Output!$A$3:$A$17,0),MATCH('Defensive Summary'!$B53,Output!$B$2:$P$2,0))</f>
        <v>1</v>
      </c>
      <c r="I53" s="24">
        <f>INDEX(Output!$B$3:$P$17,MATCH('Defensive Summary'!I$1,Output!$A$3:$A$17,0),MATCH('Defensive Summary'!$A53,Output!$B$2:$P$2,0))*INDEX(Output!$B$3:$P$17,MATCH('Defensive Summary'!I$1,Output!$A$3:$A$17,0),MATCH('Defensive Summary'!$B53,Output!$B$2:$P$2,0))</f>
        <v>1</v>
      </c>
      <c r="J53" s="24">
        <f>INDEX(Output!$B$3:$P$17,MATCH('Defensive Summary'!J$1,Output!$A$3:$A$17,0),MATCH('Defensive Summary'!$A53,Output!$B$2:$P$2,0))*INDEX(Output!$B$3:$P$17,MATCH('Defensive Summary'!J$1,Output!$A$3:$A$17,0),MATCH('Defensive Summary'!$B53,Output!$B$2:$P$2,0))</f>
        <v>2</v>
      </c>
      <c r="K53" s="24">
        <f>INDEX(Output!$B$3:$P$17,MATCH('Defensive Summary'!K$1,Output!$A$3:$A$17,0),MATCH('Defensive Summary'!$A53,Output!$B$2:$P$2,0))*INDEX(Output!$B$3:$P$17,MATCH('Defensive Summary'!K$1,Output!$A$3:$A$17,0),MATCH('Defensive Summary'!$B53,Output!$B$2:$P$2,0))</f>
        <v>1</v>
      </c>
      <c r="L53" s="24">
        <f>INDEX(Output!$B$3:$P$17,MATCH('Defensive Summary'!L$1,Output!$A$3:$A$17,0),MATCH('Defensive Summary'!$A53,Output!$B$2:$P$2,0))*INDEX(Output!$B$3:$P$17,MATCH('Defensive Summary'!L$1,Output!$A$3:$A$17,0),MATCH('Defensive Summary'!$B53,Output!$B$2:$P$2,0))</f>
        <v>1</v>
      </c>
      <c r="M53" s="24">
        <f>INDEX(Output!$B$3:$P$17,MATCH('Defensive Summary'!M$1,Output!$A$3:$A$17,0),MATCH('Defensive Summary'!$A53,Output!$B$2:$P$2,0))*INDEX(Output!$B$3:$P$17,MATCH('Defensive Summary'!M$1,Output!$A$3:$A$17,0),MATCH('Defensive Summary'!$B53,Output!$B$2:$P$2,0))</f>
        <v>1</v>
      </c>
      <c r="N53" s="24">
        <f>INDEX(Output!$B$3:$P$17,MATCH('Defensive Summary'!N$1,Output!$A$3:$A$17,0),MATCH('Defensive Summary'!$A53,Output!$B$2:$P$2,0))*INDEX(Output!$B$3:$P$17,MATCH('Defensive Summary'!N$1,Output!$A$3:$A$17,0),MATCH('Defensive Summary'!$B53,Output!$B$2:$P$2,0))</f>
        <v>2</v>
      </c>
      <c r="O53" s="24">
        <f>INDEX(Output!$B$3:$P$17,MATCH('Defensive Summary'!O$1,Output!$A$3:$A$17,0),MATCH('Defensive Summary'!$A53,Output!$B$2:$P$2,0))*INDEX(Output!$B$3:$P$17,MATCH('Defensive Summary'!O$1,Output!$A$3:$A$17,0),MATCH('Defensive Summary'!$B53,Output!$B$2:$P$2,0))</f>
        <v>1</v>
      </c>
      <c r="P53" s="24">
        <f>INDEX(Output!$B$3:$P$17,MATCH('Defensive Summary'!P$1,Output!$A$3:$A$17,0),MATCH('Defensive Summary'!$A53,Output!$B$2:$P$2,0))*INDEX(Output!$B$3:$P$17,MATCH('Defensive Summary'!P$1,Output!$A$3:$A$17,0),MATCH('Defensive Summary'!$B53,Output!$B$2:$P$2,0))</f>
        <v>1</v>
      </c>
      <c r="Q53" s="24">
        <f>INDEX(Output!$B$3:$P$17,MATCH('Defensive Summary'!Q$1,Output!$A$3:$A$17,0),MATCH('Defensive Summary'!$A53,Output!$B$2:$P$2,0))*INDEX(Output!$B$3:$P$17,MATCH('Defensive Summary'!Q$1,Output!$A$3:$A$17,0),MATCH('Defensive Summary'!$B53,Output!$B$2:$P$2,0))</f>
        <v>1</v>
      </c>
      <c r="R53" s="24"/>
      <c r="S53" s="25">
        <f t="shared" si="0"/>
        <v>5</v>
      </c>
      <c r="T53" s="22" t="s">
        <v>4</v>
      </c>
      <c r="U53" s="22" t="s">
        <v>6</v>
      </c>
      <c r="V53" s="24" cm="1">
        <f t="array" ref="V53">_xlfn.IFS(C53=1,0,C53=2,-1,C53=4,-2,C53=0.5,1,C53=0.25,2,C53=0,4)</f>
        <v>0</v>
      </c>
      <c r="W53" s="24" cm="1">
        <f t="array" ref="W53">_xlfn.IFS(D53=1,0,D53=2,-1,D53=4,-2,D53=0.5,1,D53=0.25,2,D53=0,4)</f>
        <v>1</v>
      </c>
      <c r="X53" s="24" cm="1">
        <f t="array" ref="X53">_xlfn.IFS(E53=1,0,E53=2,-1,E53=4,-2,E53=0.5,1,E53=0.25,2,E53=0,4)</f>
        <v>2</v>
      </c>
      <c r="Y53" s="24" cm="1">
        <f t="array" ref="Y53">_xlfn.IFS(F53=1,0,F53=2,-1,F53=4,-2,F53=0.5,1,F53=0.25,2,F53=0,4)</f>
        <v>4</v>
      </c>
      <c r="Z53" s="24" cm="1">
        <f t="array" ref="Z53">_xlfn.IFS(G53=1,0,G53=2,-1,G53=4,-2,G53=0.5,1,G53=0.25,2,G53=0,4)</f>
        <v>0</v>
      </c>
      <c r="AA53" s="24" cm="1">
        <f t="array" ref="AA53">_xlfn.IFS(H53=1,0,H53=2,-1,H53=4,-2,H53=0.5,1,H53=0.25,2,H53=0,4)</f>
        <v>0</v>
      </c>
      <c r="AB53" s="24" cm="1">
        <f t="array" ref="AB53">_xlfn.IFS(I53=1,0,I53=2,-1,I53=4,-2,I53=0.5,1,I53=0.25,2,I53=0,4)</f>
        <v>0</v>
      </c>
      <c r="AC53" s="24" cm="1">
        <f t="array" ref="AC53">_xlfn.IFS(J53=1,0,J53=2,-1,J53=4,-2,J53=0.5,1,J53=0.25,2,J53=0,4)</f>
        <v>-1</v>
      </c>
      <c r="AD53" s="24" cm="1">
        <f t="array" ref="AD53">_xlfn.IFS(K53=1,0,K53=2,-1,K53=4,-2,K53=0.5,1,K53=0.25,2,K53=0,4)</f>
        <v>0</v>
      </c>
      <c r="AE53" s="24" cm="1">
        <f t="array" ref="AE53">_xlfn.IFS(L53=1,0,L53=2,-1,L53=4,-2,L53=0.5,1,L53=0.25,2,L53=0,4)</f>
        <v>0</v>
      </c>
      <c r="AF53" s="24" cm="1">
        <f t="array" ref="AF53">_xlfn.IFS(M53=1,0,M53=2,-1,M53=4,-2,M53=0.5,1,M53=0.25,2,M53=0,4)</f>
        <v>0</v>
      </c>
      <c r="AG53" s="24" cm="1">
        <f t="array" ref="AG53">_xlfn.IFS(N53=1,0,N53=2,-1,N53=4,-2,N53=0.5,1,N53=0.25,2,N53=0,4)</f>
        <v>-1</v>
      </c>
      <c r="AH53" s="24" cm="1">
        <f t="array" ref="AH53">_xlfn.IFS(O53=1,0,O53=2,-1,O53=4,-2,O53=0.5,1,O53=0.25,2,O53=0,4)</f>
        <v>0</v>
      </c>
      <c r="AI53" s="24" cm="1">
        <f t="array" ref="AI53">_xlfn.IFS(P53=1,0,P53=2,-1,P53=4,-2,P53=0.5,1,P53=0.25,2,P53=0,4)</f>
        <v>0</v>
      </c>
      <c r="AJ53" s="24" cm="1">
        <f t="array" ref="AJ53">_xlfn.IFS(Q53=1,0,Q53=2,-1,Q53=4,-2,Q53=0.5,1,Q53=0.25,2,Q53=0,4)</f>
        <v>0</v>
      </c>
    </row>
    <row r="54" spans="1:36" x14ac:dyDescent="0.2">
      <c r="A54" s="22" t="s">
        <v>4</v>
      </c>
      <c r="B54" s="22" t="s">
        <v>7</v>
      </c>
      <c r="C54" s="24">
        <f>INDEX(Output!$B$3:$P$17,MATCH('Defensive Summary'!C$1,Output!$A$3:$A$17,0),MATCH('Defensive Summary'!$A54,Output!$B$2:$P$2,0))*INDEX(Output!$B$3:$P$17,MATCH('Defensive Summary'!C$1,Output!$A$3:$A$17,0),MATCH('Defensive Summary'!$B54,Output!$B$2:$P$2,0))</f>
        <v>0.5</v>
      </c>
      <c r="D54" s="24">
        <f>INDEX(Output!$B$3:$P$17,MATCH('Defensive Summary'!D$1,Output!$A$3:$A$17,0),MATCH('Defensive Summary'!$A54,Output!$B$2:$P$2,0))*INDEX(Output!$B$3:$P$17,MATCH('Defensive Summary'!D$1,Output!$A$3:$A$17,0),MATCH('Defensive Summary'!$B54,Output!$B$2:$P$2,0))</f>
        <v>1</v>
      </c>
      <c r="E54" s="24">
        <f>INDEX(Output!$B$3:$P$17,MATCH('Defensive Summary'!E$1,Output!$A$3:$A$17,0),MATCH('Defensive Summary'!$A54,Output!$B$2:$P$2,0))*INDEX(Output!$B$3:$P$17,MATCH('Defensive Summary'!E$1,Output!$A$3:$A$17,0),MATCH('Defensive Summary'!$B54,Output!$B$2:$P$2,0))</f>
        <v>0.5</v>
      </c>
      <c r="F54" s="24">
        <f>INDEX(Output!$B$3:$P$17,MATCH('Defensive Summary'!F$1,Output!$A$3:$A$17,0),MATCH('Defensive Summary'!$A54,Output!$B$2:$P$2,0))*INDEX(Output!$B$3:$P$17,MATCH('Defensive Summary'!F$1,Output!$A$3:$A$17,0),MATCH('Defensive Summary'!$B54,Output!$B$2:$P$2,0))</f>
        <v>0</v>
      </c>
      <c r="G54" s="24">
        <f>INDEX(Output!$B$3:$P$17,MATCH('Defensive Summary'!G$1,Output!$A$3:$A$17,0),MATCH('Defensive Summary'!$A54,Output!$B$2:$P$2,0))*INDEX(Output!$B$3:$P$17,MATCH('Defensive Summary'!G$1,Output!$A$3:$A$17,0),MATCH('Defensive Summary'!$B54,Output!$B$2:$P$2,0))</f>
        <v>0.5</v>
      </c>
      <c r="H54" s="24">
        <f>INDEX(Output!$B$3:$P$17,MATCH('Defensive Summary'!H$1,Output!$A$3:$A$17,0),MATCH('Defensive Summary'!$A54,Output!$B$2:$P$2,0))*INDEX(Output!$B$3:$P$17,MATCH('Defensive Summary'!H$1,Output!$A$3:$A$17,0),MATCH('Defensive Summary'!$B54,Output!$B$2:$P$2,0))</f>
        <v>1</v>
      </c>
      <c r="I54" s="24">
        <f>INDEX(Output!$B$3:$P$17,MATCH('Defensive Summary'!I$1,Output!$A$3:$A$17,0),MATCH('Defensive Summary'!$A54,Output!$B$2:$P$2,0))*INDEX(Output!$B$3:$P$17,MATCH('Defensive Summary'!I$1,Output!$A$3:$A$17,0),MATCH('Defensive Summary'!$B54,Output!$B$2:$P$2,0))</f>
        <v>2</v>
      </c>
      <c r="J54" s="24">
        <f>INDEX(Output!$B$3:$P$17,MATCH('Defensive Summary'!J$1,Output!$A$3:$A$17,0),MATCH('Defensive Summary'!$A54,Output!$B$2:$P$2,0))*INDEX(Output!$B$3:$P$17,MATCH('Defensive Summary'!J$1,Output!$A$3:$A$17,0),MATCH('Defensive Summary'!$B54,Output!$B$2:$P$2,0))</f>
        <v>2</v>
      </c>
      <c r="K54" s="24">
        <f>INDEX(Output!$B$3:$P$17,MATCH('Defensive Summary'!K$1,Output!$A$3:$A$17,0),MATCH('Defensive Summary'!$A54,Output!$B$2:$P$2,0))*INDEX(Output!$B$3:$P$17,MATCH('Defensive Summary'!K$1,Output!$A$3:$A$17,0),MATCH('Defensive Summary'!$B54,Output!$B$2:$P$2,0))</f>
        <v>2</v>
      </c>
      <c r="L54" s="24">
        <f>INDEX(Output!$B$3:$P$17,MATCH('Defensive Summary'!L$1,Output!$A$3:$A$17,0),MATCH('Defensive Summary'!$A54,Output!$B$2:$P$2,0))*INDEX(Output!$B$3:$P$17,MATCH('Defensive Summary'!L$1,Output!$A$3:$A$17,0),MATCH('Defensive Summary'!$B54,Output!$B$2:$P$2,0))</f>
        <v>0.5</v>
      </c>
      <c r="M54" s="24">
        <f>INDEX(Output!$B$3:$P$17,MATCH('Defensive Summary'!M$1,Output!$A$3:$A$17,0),MATCH('Defensive Summary'!$A54,Output!$B$2:$P$2,0))*INDEX(Output!$B$3:$P$17,MATCH('Defensive Summary'!M$1,Output!$A$3:$A$17,0),MATCH('Defensive Summary'!$B54,Output!$B$2:$P$2,0))</f>
        <v>0</v>
      </c>
      <c r="N54" s="24">
        <f>INDEX(Output!$B$3:$P$17,MATCH('Defensive Summary'!N$1,Output!$A$3:$A$17,0),MATCH('Defensive Summary'!$A54,Output!$B$2:$P$2,0))*INDEX(Output!$B$3:$P$17,MATCH('Defensive Summary'!N$1,Output!$A$3:$A$17,0),MATCH('Defensive Summary'!$B54,Output!$B$2:$P$2,0))</f>
        <v>4</v>
      </c>
      <c r="O54" s="24">
        <f>INDEX(Output!$B$3:$P$17,MATCH('Defensive Summary'!O$1,Output!$A$3:$A$17,0),MATCH('Defensive Summary'!$A54,Output!$B$2:$P$2,0))*INDEX(Output!$B$3:$P$17,MATCH('Defensive Summary'!O$1,Output!$A$3:$A$17,0),MATCH('Defensive Summary'!$B54,Output!$B$2:$P$2,0))</f>
        <v>2</v>
      </c>
      <c r="P54" s="24">
        <f>INDEX(Output!$B$3:$P$17,MATCH('Defensive Summary'!P$1,Output!$A$3:$A$17,0),MATCH('Defensive Summary'!$A54,Output!$B$2:$P$2,0))*INDEX(Output!$B$3:$P$17,MATCH('Defensive Summary'!P$1,Output!$A$3:$A$17,0),MATCH('Defensive Summary'!$B54,Output!$B$2:$P$2,0))</f>
        <v>4</v>
      </c>
      <c r="Q54" s="24">
        <f>INDEX(Output!$B$3:$P$17,MATCH('Defensive Summary'!Q$1,Output!$A$3:$A$17,0),MATCH('Defensive Summary'!$A54,Output!$B$2:$P$2,0))*INDEX(Output!$B$3:$P$17,MATCH('Defensive Summary'!Q$1,Output!$A$3:$A$17,0),MATCH('Defensive Summary'!$B54,Output!$B$2:$P$2,0))</f>
        <v>1</v>
      </c>
      <c r="R54" s="24"/>
      <c r="S54" s="25">
        <f t="shared" si="0"/>
        <v>4</v>
      </c>
      <c r="T54" s="22" t="s">
        <v>4</v>
      </c>
      <c r="U54" s="22" t="s">
        <v>7</v>
      </c>
      <c r="V54" s="24" cm="1">
        <f t="array" ref="V54">_xlfn.IFS(C54=1,0,C54=2,-1,C54=4,-2,C54=0.5,1,C54=0.25,2,C54=0,4)</f>
        <v>1</v>
      </c>
      <c r="W54" s="24" cm="1">
        <f t="array" ref="W54">_xlfn.IFS(D54=1,0,D54=2,-1,D54=4,-2,D54=0.5,1,D54=0.25,2,D54=0,4)</f>
        <v>0</v>
      </c>
      <c r="X54" s="24" cm="1">
        <f t="array" ref="X54">_xlfn.IFS(E54=1,0,E54=2,-1,E54=4,-2,E54=0.5,1,E54=0.25,2,E54=0,4)</f>
        <v>1</v>
      </c>
      <c r="Y54" s="24" cm="1">
        <f t="array" ref="Y54">_xlfn.IFS(F54=1,0,F54=2,-1,F54=4,-2,F54=0.5,1,F54=0.25,2,F54=0,4)</f>
        <v>4</v>
      </c>
      <c r="Z54" s="24" cm="1">
        <f t="array" ref="Z54">_xlfn.IFS(G54=1,0,G54=2,-1,G54=4,-2,G54=0.5,1,G54=0.25,2,G54=0,4)</f>
        <v>1</v>
      </c>
      <c r="AA54" s="24" cm="1">
        <f t="array" ref="AA54">_xlfn.IFS(H54=1,0,H54=2,-1,H54=4,-2,H54=0.5,1,H54=0.25,2,H54=0,4)</f>
        <v>0</v>
      </c>
      <c r="AB54" s="24" cm="1">
        <f t="array" ref="AB54">_xlfn.IFS(I54=1,0,I54=2,-1,I54=4,-2,I54=0.5,1,I54=0.25,2,I54=0,4)</f>
        <v>-1</v>
      </c>
      <c r="AC54" s="24" cm="1">
        <f t="array" ref="AC54">_xlfn.IFS(J54=1,0,J54=2,-1,J54=4,-2,J54=0.5,1,J54=0.25,2,J54=0,4)</f>
        <v>-1</v>
      </c>
      <c r="AD54" s="24" cm="1">
        <f t="array" ref="AD54">_xlfn.IFS(K54=1,0,K54=2,-1,K54=4,-2,K54=0.5,1,K54=0.25,2,K54=0,4)</f>
        <v>-1</v>
      </c>
      <c r="AE54" s="24" cm="1">
        <f t="array" ref="AE54">_xlfn.IFS(L54=1,0,L54=2,-1,L54=4,-2,L54=0.5,1,L54=0.25,2,L54=0,4)</f>
        <v>1</v>
      </c>
      <c r="AF54" s="24" cm="1">
        <f t="array" ref="AF54">_xlfn.IFS(M54=1,0,M54=2,-1,M54=4,-2,M54=0.5,1,M54=0.25,2,M54=0,4)</f>
        <v>4</v>
      </c>
      <c r="AG54" s="24" cm="1">
        <f t="array" ref="AG54">_xlfn.IFS(N54=1,0,N54=2,-1,N54=4,-2,N54=0.5,1,N54=0.25,2,N54=0,4)</f>
        <v>-2</v>
      </c>
      <c r="AH54" s="24" cm="1">
        <f t="array" ref="AH54">_xlfn.IFS(O54=1,0,O54=2,-1,O54=4,-2,O54=0.5,1,O54=0.25,2,O54=0,4)</f>
        <v>-1</v>
      </c>
      <c r="AI54" s="24" cm="1">
        <f t="array" ref="AI54">_xlfn.IFS(P54=1,0,P54=2,-1,P54=4,-2,P54=0.5,1,P54=0.25,2,P54=0,4)</f>
        <v>-2</v>
      </c>
      <c r="AJ54" s="24" cm="1">
        <f t="array" ref="AJ54">_xlfn.IFS(Q54=1,0,Q54=2,-1,Q54=4,-2,Q54=0.5,1,Q54=0.25,2,Q54=0,4)</f>
        <v>0</v>
      </c>
    </row>
    <row r="55" spans="1:36" x14ac:dyDescent="0.2">
      <c r="A55" s="22" t="s">
        <v>4</v>
      </c>
      <c r="B55" s="22" t="s">
        <v>8</v>
      </c>
      <c r="C55" s="24">
        <f>INDEX(Output!$B$3:$P$17,MATCH('Defensive Summary'!C$1,Output!$A$3:$A$17,0),MATCH('Defensive Summary'!$A55,Output!$B$2:$P$2,0))*INDEX(Output!$B$3:$P$17,MATCH('Defensive Summary'!C$1,Output!$A$3:$A$17,0),MATCH('Defensive Summary'!$B55,Output!$B$2:$P$2,0))</f>
        <v>0.25</v>
      </c>
      <c r="D55" s="24">
        <f>INDEX(Output!$B$3:$P$17,MATCH('Defensive Summary'!D$1,Output!$A$3:$A$17,0),MATCH('Defensive Summary'!$A55,Output!$B$2:$P$2,0))*INDEX(Output!$B$3:$P$17,MATCH('Defensive Summary'!D$1,Output!$A$3:$A$17,0),MATCH('Defensive Summary'!$B55,Output!$B$2:$P$2,0))</f>
        <v>0.5</v>
      </c>
      <c r="E55" s="24">
        <f>INDEX(Output!$B$3:$P$17,MATCH('Defensive Summary'!E$1,Output!$A$3:$A$17,0),MATCH('Defensive Summary'!$A55,Output!$B$2:$P$2,0))*INDEX(Output!$B$3:$P$17,MATCH('Defensive Summary'!E$1,Output!$A$3:$A$17,0),MATCH('Defensive Summary'!$B55,Output!$B$2:$P$2,0))</f>
        <v>0.5</v>
      </c>
      <c r="F55" s="24">
        <f>INDEX(Output!$B$3:$P$17,MATCH('Defensive Summary'!F$1,Output!$A$3:$A$17,0),MATCH('Defensive Summary'!$A55,Output!$B$2:$P$2,0))*INDEX(Output!$B$3:$P$17,MATCH('Defensive Summary'!F$1,Output!$A$3:$A$17,0),MATCH('Defensive Summary'!$B55,Output!$B$2:$P$2,0))</f>
        <v>0</v>
      </c>
      <c r="G55" s="24">
        <f>INDEX(Output!$B$3:$P$17,MATCH('Defensive Summary'!G$1,Output!$A$3:$A$17,0),MATCH('Defensive Summary'!$A55,Output!$B$2:$P$2,0))*INDEX(Output!$B$3:$P$17,MATCH('Defensive Summary'!G$1,Output!$A$3:$A$17,0),MATCH('Defensive Summary'!$B55,Output!$B$2:$P$2,0))</f>
        <v>1</v>
      </c>
      <c r="H55" s="24">
        <f>INDEX(Output!$B$3:$P$17,MATCH('Defensive Summary'!H$1,Output!$A$3:$A$17,0),MATCH('Defensive Summary'!$A55,Output!$B$2:$P$2,0))*INDEX(Output!$B$3:$P$17,MATCH('Defensive Summary'!H$1,Output!$A$3:$A$17,0),MATCH('Defensive Summary'!$B55,Output!$B$2:$P$2,0))</f>
        <v>4</v>
      </c>
      <c r="I55" s="24">
        <f>INDEX(Output!$B$3:$P$17,MATCH('Defensive Summary'!I$1,Output!$A$3:$A$17,0),MATCH('Defensive Summary'!$A55,Output!$B$2:$P$2,0))*INDEX(Output!$B$3:$P$17,MATCH('Defensive Summary'!I$1,Output!$A$3:$A$17,0),MATCH('Defensive Summary'!$B55,Output!$B$2:$P$2,0))</f>
        <v>2</v>
      </c>
      <c r="J55" s="24">
        <f>INDEX(Output!$B$3:$P$17,MATCH('Defensive Summary'!J$1,Output!$A$3:$A$17,0),MATCH('Defensive Summary'!$A55,Output!$B$2:$P$2,0))*INDEX(Output!$B$3:$P$17,MATCH('Defensive Summary'!J$1,Output!$A$3:$A$17,0),MATCH('Defensive Summary'!$B55,Output!$B$2:$P$2,0))</f>
        <v>0</v>
      </c>
      <c r="K55" s="24">
        <f>INDEX(Output!$B$3:$P$17,MATCH('Defensive Summary'!K$1,Output!$A$3:$A$17,0),MATCH('Defensive Summary'!$A55,Output!$B$2:$P$2,0))*INDEX(Output!$B$3:$P$17,MATCH('Defensive Summary'!K$1,Output!$A$3:$A$17,0),MATCH('Defensive Summary'!$B55,Output!$B$2:$P$2,0))</f>
        <v>1</v>
      </c>
      <c r="L55" s="24">
        <f>INDEX(Output!$B$3:$P$17,MATCH('Defensive Summary'!L$1,Output!$A$3:$A$17,0),MATCH('Defensive Summary'!$A55,Output!$B$2:$P$2,0))*INDEX(Output!$B$3:$P$17,MATCH('Defensive Summary'!L$1,Output!$A$3:$A$17,0),MATCH('Defensive Summary'!$B55,Output!$B$2:$P$2,0))</f>
        <v>2</v>
      </c>
      <c r="M55" s="24">
        <f>INDEX(Output!$B$3:$P$17,MATCH('Defensive Summary'!M$1,Output!$A$3:$A$17,0),MATCH('Defensive Summary'!$A55,Output!$B$2:$P$2,0))*INDEX(Output!$B$3:$P$17,MATCH('Defensive Summary'!M$1,Output!$A$3:$A$17,0),MATCH('Defensive Summary'!$B55,Output!$B$2:$P$2,0))</f>
        <v>1</v>
      </c>
      <c r="N55" s="24">
        <f>INDEX(Output!$B$3:$P$17,MATCH('Defensive Summary'!N$1,Output!$A$3:$A$17,0),MATCH('Defensive Summary'!$A55,Output!$B$2:$P$2,0))*INDEX(Output!$B$3:$P$17,MATCH('Defensive Summary'!N$1,Output!$A$3:$A$17,0),MATCH('Defensive Summary'!$B55,Output!$B$2:$P$2,0))</f>
        <v>2</v>
      </c>
      <c r="O55" s="24">
        <f>INDEX(Output!$B$3:$P$17,MATCH('Defensive Summary'!O$1,Output!$A$3:$A$17,0),MATCH('Defensive Summary'!$A55,Output!$B$2:$P$2,0))*INDEX(Output!$B$3:$P$17,MATCH('Defensive Summary'!O$1,Output!$A$3:$A$17,0),MATCH('Defensive Summary'!$B55,Output!$B$2:$P$2,0))</f>
        <v>1</v>
      </c>
      <c r="P55" s="24">
        <f>INDEX(Output!$B$3:$P$17,MATCH('Defensive Summary'!P$1,Output!$A$3:$A$17,0),MATCH('Defensive Summary'!$A55,Output!$B$2:$P$2,0))*INDEX(Output!$B$3:$P$17,MATCH('Defensive Summary'!P$1,Output!$A$3:$A$17,0),MATCH('Defensive Summary'!$B55,Output!$B$2:$P$2,0))</f>
        <v>1</v>
      </c>
      <c r="Q55" s="24">
        <f>INDEX(Output!$B$3:$P$17,MATCH('Defensive Summary'!Q$1,Output!$A$3:$A$17,0),MATCH('Defensive Summary'!$A55,Output!$B$2:$P$2,0))*INDEX(Output!$B$3:$P$17,MATCH('Defensive Summary'!Q$1,Output!$A$3:$A$17,0),MATCH('Defensive Summary'!$B55,Output!$B$2:$P$2,0))</f>
        <v>1</v>
      </c>
      <c r="R55" s="24"/>
      <c r="S55" s="25">
        <f t="shared" si="0"/>
        <v>7</v>
      </c>
      <c r="T55" s="22" t="s">
        <v>4</v>
      </c>
      <c r="U55" s="22" t="s">
        <v>8</v>
      </c>
      <c r="V55" s="24" cm="1">
        <f t="array" ref="V55">_xlfn.IFS(C55=1,0,C55=2,-1,C55=4,-2,C55=0.5,1,C55=0.25,2,C55=0,4)</f>
        <v>2</v>
      </c>
      <c r="W55" s="24" cm="1">
        <f t="array" ref="W55">_xlfn.IFS(D55=1,0,D55=2,-1,D55=4,-2,D55=0.5,1,D55=0.25,2,D55=0,4)</f>
        <v>1</v>
      </c>
      <c r="X55" s="24" cm="1">
        <f t="array" ref="X55">_xlfn.IFS(E55=1,0,E55=2,-1,E55=4,-2,E55=0.5,1,E55=0.25,2,E55=0,4)</f>
        <v>1</v>
      </c>
      <c r="Y55" s="24" cm="1">
        <f t="array" ref="Y55">_xlfn.IFS(F55=1,0,F55=2,-1,F55=4,-2,F55=0.5,1,F55=0.25,2,F55=0,4)</f>
        <v>4</v>
      </c>
      <c r="Z55" s="24" cm="1">
        <f t="array" ref="Z55">_xlfn.IFS(G55=1,0,G55=2,-1,G55=4,-2,G55=0.5,1,G55=0.25,2,G55=0,4)</f>
        <v>0</v>
      </c>
      <c r="AA55" s="24" cm="1">
        <f t="array" ref="AA55">_xlfn.IFS(H55=1,0,H55=2,-1,H55=4,-2,H55=0.5,1,H55=0.25,2,H55=0,4)</f>
        <v>-2</v>
      </c>
      <c r="AB55" s="24" cm="1">
        <f t="array" ref="AB55">_xlfn.IFS(I55=1,0,I55=2,-1,I55=4,-2,I55=0.5,1,I55=0.25,2,I55=0,4)</f>
        <v>-1</v>
      </c>
      <c r="AC55" s="24" cm="1">
        <f t="array" ref="AC55">_xlfn.IFS(J55=1,0,J55=2,-1,J55=4,-2,J55=0.5,1,J55=0.25,2,J55=0,4)</f>
        <v>4</v>
      </c>
      <c r="AD55" s="24" cm="1">
        <f t="array" ref="AD55">_xlfn.IFS(K55=1,0,K55=2,-1,K55=4,-2,K55=0.5,1,K55=0.25,2,K55=0,4)</f>
        <v>0</v>
      </c>
      <c r="AE55" s="24" cm="1">
        <f t="array" ref="AE55">_xlfn.IFS(L55=1,0,L55=2,-1,L55=4,-2,L55=0.5,1,L55=0.25,2,L55=0,4)</f>
        <v>-1</v>
      </c>
      <c r="AF55" s="24" cm="1">
        <f t="array" ref="AF55">_xlfn.IFS(M55=1,0,M55=2,-1,M55=4,-2,M55=0.5,1,M55=0.25,2,M55=0,4)</f>
        <v>0</v>
      </c>
      <c r="AG55" s="24" cm="1">
        <f t="array" ref="AG55">_xlfn.IFS(N55=1,0,N55=2,-1,N55=4,-2,N55=0.5,1,N55=0.25,2,N55=0,4)</f>
        <v>-1</v>
      </c>
      <c r="AH55" s="24" cm="1">
        <f t="array" ref="AH55">_xlfn.IFS(O55=1,0,O55=2,-1,O55=4,-2,O55=0.5,1,O55=0.25,2,O55=0,4)</f>
        <v>0</v>
      </c>
      <c r="AI55" s="24" cm="1">
        <f t="array" ref="AI55">_xlfn.IFS(P55=1,0,P55=2,-1,P55=4,-2,P55=0.5,1,P55=0.25,2,P55=0,4)</f>
        <v>0</v>
      </c>
      <c r="AJ55" s="24" cm="1">
        <f t="array" ref="AJ55">_xlfn.IFS(Q55=1,0,Q55=2,-1,Q55=4,-2,Q55=0.5,1,Q55=0.25,2,Q55=0,4)</f>
        <v>0</v>
      </c>
    </row>
    <row r="56" spans="1:36" x14ac:dyDescent="0.2">
      <c r="A56" s="22" t="s">
        <v>4</v>
      </c>
      <c r="B56" s="22" t="s">
        <v>9</v>
      </c>
      <c r="C56" s="24">
        <f>INDEX(Output!$B$3:$P$17,MATCH('Defensive Summary'!C$1,Output!$A$3:$A$17,0),MATCH('Defensive Summary'!$A56,Output!$B$2:$P$2,0))*INDEX(Output!$B$3:$P$17,MATCH('Defensive Summary'!C$1,Output!$A$3:$A$17,0),MATCH('Defensive Summary'!$B56,Output!$B$2:$P$2,0))</f>
        <v>0.5</v>
      </c>
      <c r="D56" s="24">
        <f>INDEX(Output!$B$3:$P$17,MATCH('Defensive Summary'!D$1,Output!$A$3:$A$17,0),MATCH('Defensive Summary'!$A56,Output!$B$2:$P$2,0))*INDEX(Output!$B$3:$P$17,MATCH('Defensive Summary'!D$1,Output!$A$3:$A$17,0),MATCH('Defensive Summary'!$B56,Output!$B$2:$P$2,0))</f>
        <v>1</v>
      </c>
      <c r="E56" s="24">
        <f>INDEX(Output!$B$3:$P$17,MATCH('Defensive Summary'!E$1,Output!$A$3:$A$17,0),MATCH('Defensive Summary'!$A56,Output!$B$2:$P$2,0))*INDEX(Output!$B$3:$P$17,MATCH('Defensive Summary'!E$1,Output!$A$3:$A$17,0),MATCH('Defensive Summary'!$B56,Output!$B$2:$P$2,0))</f>
        <v>0.5</v>
      </c>
      <c r="F56" s="24">
        <f>INDEX(Output!$B$3:$P$17,MATCH('Defensive Summary'!F$1,Output!$A$3:$A$17,0),MATCH('Defensive Summary'!$A56,Output!$B$2:$P$2,0))*INDEX(Output!$B$3:$P$17,MATCH('Defensive Summary'!F$1,Output!$A$3:$A$17,0),MATCH('Defensive Summary'!$B56,Output!$B$2:$P$2,0))</f>
        <v>0</v>
      </c>
      <c r="G56" s="24">
        <f>INDEX(Output!$B$3:$P$17,MATCH('Defensive Summary'!G$1,Output!$A$3:$A$17,0),MATCH('Defensive Summary'!$A56,Output!$B$2:$P$2,0))*INDEX(Output!$B$3:$P$17,MATCH('Defensive Summary'!G$1,Output!$A$3:$A$17,0),MATCH('Defensive Summary'!$B56,Output!$B$2:$P$2,0))</f>
        <v>0.5</v>
      </c>
      <c r="H56" s="24">
        <f>INDEX(Output!$B$3:$P$17,MATCH('Defensive Summary'!H$1,Output!$A$3:$A$17,0),MATCH('Defensive Summary'!$A56,Output!$B$2:$P$2,0))*INDEX(Output!$B$3:$P$17,MATCH('Defensive Summary'!H$1,Output!$A$3:$A$17,0),MATCH('Defensive Summary'!$B56,Output!$B$2:$P$2,0))</f>
        <v>2</v>
      </c>
      <c r="I56" s="24">
        <f>INDEX(Output!$B$3:$P$17,MATCH('Defensive Summary'!I$1,Output!$A$3:$A$17,0),MATCH('Defensive Summary'!$A56,Output!$B$2:$P$2,0))*INDEX(Output!$B$3:$P$17,MATCH('Defensive Summary'!I$1,Output!$A$3:$A$17,0),MATCH('Defensive Summary'!$B56,Output!$B$2:$P$2,0))</f>
        <v>2</v>
      </c>
      <c r="J56" s="24">
        <f>INDEX(Output!$B$3:$P$17,MATCH('Defensive Summary'!J$1,Output!$A$3:$A$17,0),MATCH('Defensive Summary'!$A56,Output!$B$2:$P$2,0))*INDEX(Output!$B$3:$P$17,MATCH('Defensive Summary'!J$1,Output!$A$3:$A$17,0),MATCH('Defensive Summary'!$B56,Output!$B$2:$P$2,0))</f>
        <v>1</v>
      </c>
      <c r="K56" s="24">
        <f>INDEX(Output!$B$3:$P$17,MATCH('Defensive Summary'!K$1,Output!$A$3:$A$17,0),MATCH('Defensive Summary'!$A56,Output!$B$2:$P$2,0))*INDEX(Output!$B$3:$P$17,MATCH('Defensive Summary'!K$1,Output!$A$3:$A$17,0),MATCH('Defensive Summary'!$B56,Output!$B$2:$P$2,0))</f>
        <v>0</v>
      </c>
      <c r="L56" s="24">
        <f>INDEX(Output!$B$3:$P$17,MATCH('Defensive Summary'!L$1,Output!$A$3:$A$17,0),MATCH('Defensive Summary'!$A56,Output!$B$2:$P$2,0))*INDEX(Output!$B$3:$P$17,MATCH('Defensive Summary'!L$1,Output!$A$3:$A$17,0),MATCH('Defensive Summary'!$B56,Output!$B$2:$P$2,0))</f>
        <v>1</v>
      </c>
      <c r="M56" s="24">
        <f>INDEX(Output!$B$3:$P$17,MATCH('Defensive Summary'!M$1,Output!$A$3:$A$17,0),MATCH('Defensive Summary'!$A56,Output!$B$2:$P$2,0))*INDEX(Output!$B$3:$P$17,MATCH('Defensive Summary'!M$1,Output!$A$3:$A$17,0),MATCH('Defensive Summary'!$B56,Output!$B$2:$P$2,0))</f>
        <v>4</v>
      </c>
      <c r="N56" s="24">
        <f>INDEX(Output!$B$3:$P$17,MATCH('Defensive Summary'!N$1,Output!$A$3:$A$17,0),MATCH('Defensive Summary'!$A56,Output!$B$2:$P$2,0))*INDEX(Output!$B$3:$P$17,MATCH('Defensive Summary'!N$1,Output!$A$3:$A$17,0),MATCH('Defensive Summary'!$B56,Output!$B$2:$P$2,0))</f>
        <v>2</v>
      </c>
      <c r="O56" s="24">
        <f>INDEX(Output!$B$3:$P$17,MATCH('Defensive Summary'!O$1,Output!$A$3:$A$17,0),MATCH('Defensive Summary'!$A56,Output!$B$2:$P$2,0))*INDEX(Output!$B$3:$P$17,MATCH('Defensive Summary'!O$1,Output!$A$3:$A$17,0),MATCH('Defensive Summary'!$B56,Output!$B$2:$P$2,0))</f>
        <v>0.5</v>
      </c>
      <c r="P56" s="24">
        <f>INDEX(Output!$B$3:$P$17,MATCH('Defensive Summary'!P$1,Output!$A$3:$A$17,0),MATCH('Defensive Summary'!$A56,Output!$B$2:$P$2,0))*INDEX(Output!$B$3:$P$17,MATCH('Defensive Summary'!P$1,Output!$A$3:$A$17,0),MATCH('Defensive Summary'!$B56,Output!$B$2:$P$2,0))</f>
        <v>4</v>
      </c>
      <c r="Q56" s="24">
        <f>INDEX(Output!$B$3:$P$17,MATCH('Defensive Summary'!Q$1,Output!$A$3:$A$17,0),MATCH('Defensive Summary'!$A56,Output!$B$2:$P$2,0))*INDEX(Output!$B$3:$P$17,MATCH('Defensive Summary'!Q$1,Output!$A$3:$A$17,0),MATCH('Defensive Summary'!$B56,Output!$B$2:$P$2,0))</f>
        <v>1</v>
      </c>
      <c r="R56" s="24"/>
      <c r="S56" s="25">
        <f t="shared" si="0"/>
        <v>5</v>
      </c>
      <c r="T56" s="22" t="s">
        <v>4</v>
      </c>
      <c r="U56" s="22" t="s">
        <v>9</v>
      </c>
      <c r="V56" s="24" cm="1">
        <f t="array" ref="V56">_xlfn.IFS(C56=1,0,C56=2,-1,C56=4,-2,C56=0.5,1,C56=0.25,2,C56=0,4)</f>
        <v>1</v>
      </c>
      <c r="W56" s="24" cm="1">
        <f t="array" ref="W56">_xlfn.IFS(D56=1,0,D56=2,-1,D56=4,-2,D56=0.5,1,D56=0.25,2,D56=0,4)</f>
        <v>0</v>
      </c>
      <c r="X56" s="24" cm="1">
        <f t="array" ref="X56">_xlfn.IFS(E56=1,0,E56=2,-1,E56=4,-2,E56=0.5,1,E56=0.25,2,E56=0,4)</f>
        <v>1</v>
      </c>
      <c r="Y56" s="24" cm="1">
        <f t="array" ref="Y56">_xlfn.IFS(F56=1,0,F56=2,-1,F56=4,-2,F56=0.5,1,F56=0.25,2,F56=0,4)</f>
        <v>4</v>
      </c>
      <c r="Z56" s="24" cm="1">
        <f t="array" ref="Z56">_xlfn.IFS(G56=1,0,G56=2,-1,G56=4,-2,G56=0.5,1,G56=0.25,2,G56=0,4)</f>
        <v>1</v>
      </c>
      <c r="AA56" s="24" cm="1">
        <f t="array" ref="AA56">_xlfn.IFS(H56=1,0,H56=2,-1,H56=4,-2,H56=0.5,1,H56=0.25,2,H56=0,4)</f>
        <v>-1</v>
      </c>
      <c r="AB56" s="24" cm="1">
        <f t="array" ref="AB56">_xlfn.IFS(I56=1,0,I56=2,-1,I56=4,-2,I56=0.5,1,I56=0.25,2,I56=0,4)</f>
        <v>-1</v>
      </c>
      <c r="AC56" s="24" cm="1">
        <f t="array" ref="AC56">_xlfn.IFS(J56=1,0,J56=2,-1,J56=4,-2,J56=0.5,1,J56=0.25,2,J56=0,4)</f>
        <v>0</v>
      </c>
      <c r="AD56" s="24" cm="1">
        <f t="array" ref="AD56">_xlfn.IFS(K56=1,0,K56=2,-1,K56=4,-2,K56=0.5,1,K56=0.25,2,K56=0,4)</f>
        <v>4</v>
      </c>
      <c r="AE56" s="24" cm="1">
        <f t="array" ref="AE56">_xlfn.IFS(L56=1,0,L56=2,-1,L56=4,-2,L56=0.5,1,L56=0.25,2,L56=0,4)</f>
        <v>0</v>
      </c>
      <c r="AF56" s="24" cm="1">
        <f t="array" ref="AF56">_xlfn.IFS(M56=1,0,M56=2,-1,M56=4,-2,M56=0.5,1,M56=0.25,2,M56=0,4)</f>
        <v>-2</v>
      </c>
      <c r="AG56" s="24" cm="1">
        <f t="array" ref="AG56">_xlfn.IFS(N56=1,0,N56=2,-1,N56=4,-2,N56=0.5,1,N56=0.25,2,N56=0,4)</f>
        <v>-1</v>
      </c>
      <c r="AH56" s="24" cm="1">
        <f t="array" ref="AH56">_xlfn.IFS(O56=1,0,O56=2,-1,O56=4,-2,O56=0.5,1,O56=0.25,2,O56=0,4)</f>
        <v>1</v>
      </c>
      <c r="AI56" s="24" cm="1">
        <f t="array" ref="AI56">_xlfn.IFS(P56=1,0,P56=2,-1,P56=4,-2,P56=0.5,1,P56=0.25,2,P56=0,4)</f>
        <v>-2</v>
      </c>
      <c r="AJ56" s="24" cm="1">
        <f t="array" ref="AJ56">_xlfn.IFS(Q56=1,0,Q56=2,-1,Q56=4,-2,Q56=0.5,1,Q56=0.25,2,Q56=0,4)</f>
        <v>0</v>
      </c>
    </row>
    <row r="57" spans="1:36" x14ac:dyDescent="0.2">
      <c r="A57" s="22" t="s">
        <v>4</v>
      </c>
      <c r="B57" s="22" t="s">
        <v>10</v>
      </c>
      <c r="C57" s="24">
        <f>INDEX(Output!$B$3:$P$17,MATCH('Defensive Summary'!C$1,Output!$A$3:$A$17,0),MATCH('Defensive Summary'!$A57,Output!$B$2:$P$2,0))*INDEX(Output!$B$3:$P$17,MATCH('Defensive Summary'!C$1,Output!$A$3:$A$17,0),MATCH('Defensive Summary'!$B57,Output!$B$2:$P$2,0))</f>
        <v>1</v>
      </c>
      <c r="D57" s="24">
        <f>INDEX(Output!$B$3:$P$17,MATCH('Defensive Summary'!D$1,Output!$A$3:$A$17,0),MATCH('Defensive Summary'!$A57,Output!$B$2:$P$2,0))*INDEX(Output!$B$3:$P$17,MATCH('Defensive Summary'!D$1,Output!$A$3:$A$17,0),MATCH('Defensive Summary'!$B57,Output!$B$2:$P$2,0))</f>
        <v>1</v>
      </c>
      <c r="E57" s="24">
        <f>INDEX(Output!$B$3:$P$17,MATCH('Defensive Summary'!E$1,Output!$A$3:$A$17,0),MATCH('Defensive Summary'!$A57,Output!$B$2:$P$2,0))*INDEX(Output!$B$3:$P$17,MATCH('Defensive Summary'!E$1,Output!$A$3:$A$17,0),MATCH('Defensive Summary'!$B57,Output!$B$2:$P$2,0))</f>
        <v>0.25</v>
      </c>
      <c r="F57" s="24">
        <f>INDEX(Output!$B$3:$P$17,MATCH('Defensive Summary'!F$1,Output!$A$3:$A$17,0),MATCH('Defensive Summary'!$A57,Output!$B$2:$P$2,0))*INDEX(Output!$B$3:$P$17,MATCH('Defensive Summary'!F$1,Output!$A$3:$A$17,0),MATCH('Defensive Summary'!$B57,Output!$B$2:$P$2,0))</f>
        <v>0</v>
      </c>
      <c r="G57" s="24">
        <f>INDEX(Output!$B$3:$P$17,MATCH('Defensive Summary'!G$1,Output!$A$3:$A$17,0),MATCH('Defensive Summary'!$A57,Output!$B$2:$P$2,0))*INDEX(Output!$B$3:$P$17,MATCH('Defensive Summary'!G$1,Output!$A$3:$A$17,0),MATCH('Defensive Summary'!$B57,Output!$B$2:$P$2,0))</f>
        <v>1</v>
      </c>
      <c r="H57" s="24">
        <f>INDEX(Output!$B$3:$P$17,MATCH('Defensive Summary'!H$1,Output!$A$3:$A$17,0),MATCH('Defensive Summary'!$A57,Output!$B$2:$P$2,0))*INDEX(Output!$B$3:$P$17,MATCH('Defensive Summary'!H$1,Output!$A$3:$A$17,0),MATCH('Defensive Summary'!$B57,Output!$B$2:$P$2,0))</f>
        <v>4</v>
      </c>
      <c r="I57" s="24">
        <f>INDEX(Output!$B$3:$P$17,MATCH('Defensive Summary'!I$1,Output!$A$3:$A$17,0),MATCH('Defensive Summary'!$A57,Output!$B$2:$P$2,0))*INDEX(Output!$B$3:$P$17,MATCH('Defensive Summary'!I$1,Output!$A$3:$A$17,0),MATCH('Defensive Summary'!$B57,Output!$B$2:$P$2,0))</f>
        <v>1</v>
      </c>
      <c r="J57" s="24">
        <f>INDEX(Output!$B$3:$P$17,MATCH('Defensive Summary'!J$1,Output!$A$3:$A$17,0),MATCH('Defensive Summary'!$A57,Output!$B$2:$P$2,0))*INDEX(Output!$B$3:$P$17,MATCH('Defensive Summary'!J$1,Output!$A$3:$A$17,0),MATCH('Defensive Summary'!$B57,Output!$B$2:$P$2,0))</f>
        <v>4</v>
      </c>
      <c r="K57" s="24">
        <f>INDEX(Output!$B$3:$P$17,MATCH('Defensive Summary'!K$1,Output!$A$3:$A$17,0),MATCH('Defensive Summary'!$A57,Output!$B$2:$P$2,0))*INDEX(Output!$B$3:$P$17,MATCH('Defensive Summary'!K$1,Output!$A$3:$A$17,0),MATCH('Defensive Summary'!$B57,Output!$B$2:$P$2,0))</f>
        <v>0.5</v>
      </c>
      <c r="L57" s="24">
        <f>INDEX(Output!$B$3:$P$17,MATCH('Defensive Summary'!L$1,Output!$A$3:$A$17,0),MATCH('Defensive Summary'!$A57,Output!$B$2:$P$2,0))*INDEX(Output!$B$3:$P$17,MATCH('Defensive Summary'!L$1,Output!$A$3:$A$17,0),MATCH('Defensive Summary'!$B57,Output!$B$2:$P$2,0))</f>
        <v>0</v>
      </c>
      <c r="M57" s="24">
        <f>INDEX(Output!$B$3:$P$17,MATCH('Defensive Summary'!M$1,Output!$A$3:$A$17,0),MATCH('Defensive Summary'!$A57,Output!$B$2:$P$2,0))*INDEX(Output!$B$3:$P$17,MATCH('Defensive Summary'!M$1,Output!$A$3:$A$17,0),MATCH('Defensive Summary'!$B57,Output!$B$2:$P$2,0))</f>
        <v>2</v>
      </c>
      <c r="N57" s="24">
        <f>INDEX(Output!$B$3:$P$17,MATCH('Defensive Summary'!N$1,Output!$A$3:$A$17,0),MATCH('Defensive Summary'!$A57,Output!$B$2:$P$2,0))*INDEX(Output!$B$3:$P$17,MATCH('Defensive Summary'!N$1,Output!$A$3:$A$17,0),MATCH('Defensive Summary'!$B57,Output!$B$2:$P$2,0))</f>
        <v>1</v>
      </c>
      <c r="O57" s="24">
        <f>INDEX(Output!$B$3:$P$17,MATCH('Defensive Summary'!O$1,Output!$A$3:$A$17,0),MATCH('Defensive Summary'!$A57,Output!$B$2:$P$2,0))*INDEX(Output!$B$3:$P$17,MATCH('Defensive Summary'!O$1,Output!$A$3:$A$17,0),MATCH('Defensive Summary'!$B57,Output!$B$2:$P$2,0))</f>
        <v>0.5</v>
      </c>
      <c r="P57" s="24">
        <f>INDEX(Output!$B$3:$P$17,MATCH('Defensive Summary'!P$1,Output!$A$3:$A$17,0),MATCH('Defensive Summary'!$A57,Output!$B$2:$P$2,0))*INDEX(Output!$B$3:$P$17,MATCH('Defensive Summary'!P$1,Output!$A$3:$A$17,0),MATCH('Defensive Summary'!$B57,Output!$B$2:$P$2,0))</f>
        <v>2</v>
      </c>
      <c r="Q57" s="24">
        <f>INDEX(Output!$B$3:$P$17,MATCH('Defensive Summary'!Q$1,Output!$A$3:$A$17,0),MATCH('Defensive Summary'!$A57,Output!$B$2:$P$2,0))*INDEX(Output!$B$3:$P$17,MATCH('Defensive Summary'!Q$1,Output!$A$3:$A$17,0),MATCH('Defensive Summary'!$B57,Output!$B$2:$P$2,0))</f>
        <v>1</v>
      </c>
      <c r="R57" s="24"/>
      <c r="S57" s="25">
        <f t="shared" si="0"/>
        <v>6</v>
      </c>
      <c r="T57" s="22" t="s">
        <v>4</v>
      </c>
      <c r="U57" s="22" t="s">
        <v>10</v>
      </c>
      <c r="V57" s="24" cm="1">
        <f t="array" ref="V57">_xlfn.IFS(C57=1,0,C57=2,-1,C57=4,-2,C57=0.5,1,C57=0.25,2,C57=0,4)</f>
        <v>0</v>
      </c>
      <c r="W57" s="24" cm="1">
        <f t="array" ref="W57">_xlfn.IFS(D57=1,0,D57=2,-1,D57=4,-2,D57=0.5,1,D57=0.25,2,D57=0,4)</f>
        <v>0</v>
      </c>
      <c r="X57" s="24" cm="1">
        <f t="array" ref="X57">_xlfn.IFS(E57=1,0,E57=2,-1,E57=4,-2,E57=0.5,1,E57=0.25,2,E57=0,4)</f>
        <v>2</v>
      </c>
      <c r="Y57" s="24" cm="1">
        <f t="array" ref="Y57">_xlfn.IFS(F57=1,0,F57=2,-1,F57=4,-2,F57=0.5,1,F57=0.25,2,F57=0,4)</f>
        <v>4</v>
      </c>
      <c r="Z57" s="24" cm="1">
        <f t="array" ref="Z57">_xlfn.IFS(G57=1,0,G57=2,-1,G57=4,-2,G57=0.5,1,G57=0.25,2,G57=0,4)</f>
        <v>0</v>
      </c>
      <c r="AA57" s="24" cm="1">
        <f t="array" ref="AA57">_xlfn.IFS(H57=1,0,H57=2,-1,H57=4,-2,H57=0.5,1,H57=0.25,2,H57=0,4)</f>
        <v>-2</v>
      </c>
      <c r="AB57" s="24" cm="1">
        <f t="array" ref="AB57">_xlfn.IFS(I57=1,0,I57=2,-1,I57=4,-2,I57=0.5,1,I57=0.25,2,I57=0,4)</f>
        <v>0</v>
      </c>
      <c r="AC57" s="24" cm="1">
        <f t="array" ref="AC57">_xlfn.IFS(J57=1,0,J57=2,-1,J57=4,-2,J57=0.5,1,J57=0.25,2,J57=0,4)</f>
        <v>-2</v>
      </c>
      <c r="AD57" s="24" cm="1">
        <f t="array" ref="AD57">_xlfn.IFS(K57=1,0,K57=2,-1,K57=4,-2,K57=0.5,1,K57=0.25,2,K57=0,4)</f>
        <v>1</v>
      </c>
      <c r="AE57" s="24" cm="1">
        <f t="array" ref="AE57">_xlfn.IFS(L57=1,0,L57=2,-1,L57=4,-2,L57=0.5,1,L57=0.25,2,L57=0,4)</f>
        <v>4</v>
      </c>
      <c r="AF57" s="24" cm="1">
        <f t="array" ref="AF57">_xlfn.IFS(M57=1,0,M57=2,-1,M57=4,-2,M57=0.5,1,M57=0.25,2,M57=0,4)</f>
        <v>-1</v>
      </c>
      <c r="AG57" s="24" cm="1">
        <f t="array" ref="AG57">_xlfn.IFS(N57=1,0,N57=2,-1,N57=4,-2,N57=0.5,1,N57=0.25,2,N57=0,4)</f>
        <v>0</v>
      </c>
      <c r="AH57" s="24" cm="1">
        <f t="array" ref="AH57">_xlfn.IFS(O57=1,0,O57=2,-1,O57=4,-2,O57=0.5,1,O57=0.25,2,O57=0,4)</f>
        <v>1</v>
      </c>
      <c r="AI57" s="24" cm="1">
        <f t="array" ref="AI57">_xlfn.IFS(P57=1,0,P57=2,-1,P57=4,-2,P57=0.5,1,P57=0.25,2,P57=0,4)</f>
        <v>-1</v>
      </c>
      <c r="AJ57" s="24" cm="1">
        <f t="array" ref="AJ57">_xlfn.IFS(Q57=1,0,Q57=2,-1,Q57=4,-2,Q57=0.5,1,Q57=0.25,2,Q57=0,4)</f>
        <v>0</v>
      </c>
    </row>
    <row r="58" spans="1:36" x14ac:dyDescent="0.2">
      <c r="A58" s="22" t="s">
        <v>4</v>
      </c>
      <c r="B58" s="22" t="s">
        <v>11</v>
      </c>
      <c r="C58" s="24">
        <f>INDEX(Output!$B$3:$P$17,MATCH('Defensive Summary'!C$1,Output!$A$3:$A$17,0),MATCH('Defensive Summary'!$A58,Output!$B$2:$P$2,0))*INDEX(Output!$B$3:$P$17,MATCH('Defensive Summary'!C$1,Output!$A$3:$A$17,0),MATCH('Defensive Summary'!$B58,Output!$B$2:$P$2,0))</f>
        <v>0.5</v>
      </c>
      <c r="D58" s="24">
        <f>INDEX(Output!$B$3:$P$17,MATCH('Defensive Summary'!D$1,Output!$A$3:$A$17,0),MATCH('Defensive Summary'!$A58,Output!$B$2:$P$2,0))*INDEX(Output!$B$3:$P$17,MATCH('Defensive Summary'!D$1,Output!$A$3:$A$17,0),MATCH('Defensive Summary'!$B58,Output!$B$2:$P$2,0))</f>
        <v>1</v>
      </c>
      <c r="E58" s="24">
        <f>INDEX(Output!$B$3:$P$17,MATCH('Defensive Summary'!E$1,Output!$A$3:$A$17,0),MATCH('Defensive Summary'!$A58,Output!$B$2:$P$2,0))*INDEX(Output!$B$3:$P$17,MATCH('Defensive Summary'!E$1,Output!$A$3:$A$17,0),MATCH('Defensive Summary'!$B58,Output!$B$2:$P$2,0))</f>
        <v>0.5</v>
      </c>
      <c r="F58" s="24">
        <f>INDEX(Output!$B$3:$P$17,MATCH('Defensive Summary'!F$1,Output!$A$3:$A$17,0),MATCH('Defensive Summary'!$A58,Output!$B$2:$P$2,0))*INDEX(Output!$B$3:$P$17,MATCH('Defensive Summary'!F$1,Output!$A$3:$A$17,0),MATCH('Defensive Summary'!$B58,Output!$B$2:$P$2,0))</f>
        <v>0</v>
      </c>
      <c r="G58" s="24">
        <f>INDEX(Output!$B$3:$P$17,MATCH('Defensive Summary'!G$1,Output!$A$3:$A$17,0),MATCH('Defensive Summary'!$A58,Output!$B$2:$P$2,0))*INDEX(Output!$B$3:$P$17,MATCH('Defensive Summary'!G$1,Output!$A$3:$A$17,0),MATCH('Defensive Summary'!$B58,Output!$B$2:$P$2,0))</f>
        <v>0.5</v>
      </c>
      <c r="H58" s="24">
        <f>INDEX(Output!$B$3:$P$17,MATCH('Defensive Summary'!H$1,Output!$A$3:$A$17,0),MATCH('Defensive Summary'!$A58,Output!$B$2:$P$2,0))*INDEX(Output!$B$3:$P$17,MATCH('Defensive Summary'!H$1,Output!$A$3:$A$17,0),MATCH('Defensive Summary'!$B58,Output!$B$2:$P$2,0))</f>
        <v>2</v>
      </c>
      <c r="I58" s="24">
        <f>INDEX(Output!$B$3:$P$17,MATCH('Defensive Summary'!I$1,Output!$A$3:$A$17,0),MATCH('Defensive Summary'!$A58,Output!$B$2:$P$2,0))*INDEX(Output!$B$3:$P$17,MATCH('Defensive Summary'!I$1,Output!$A$3:$A$17,0),MATCH('Defensive Summary'!$B58,Output!$B$2:$P$2,0))</f>
        <v>1</v>
      </c>
      <c r="J58" s="24">
        <f>INDEX(Output!$B$3:$P$17,MATCH('Defensive Summary'!J$1,Output!$A$3:$A$17,0),MATCH('Defensive Summary'!$A58,Output!$B$2:$P$2,0))*INDEX(Output!$B$3:$P$17,MATCH('Defensive Summary'!J$1,Output!$A$3:$A$17,0),MATCH('Defensive Summary'!$B58,Output!$B$2:$P$2,0))</f>
        <v>2</v>
      </c>
      <c r="K58" s="24">
        <f>INDEX(Output!$B$3:$P$17,MATCH('Defensive Summary'!K$1,Output!$A$3:$A$17,0),MATCH('Defensive Summary'!$A58,Output!$B$2:$P$2,0))*INDEX(Output!$B$3:$P$17,MATCH('Defensive Summary'!K$1,Output!$A$3:$A$17,0),MATCH('Defensive Summary'!$B58,Output!$B$2:$P$2,0))</f>
        <v>1</v>
      </c>
      <c r="L58" s="24">
        <f>INDEX(Output!$B$3:$P$17,MATCH('Defensive Summary'!L$1,Output!$A$3:$A$17,0),MATCH('Defensive Summary'!$A58,Output!$B$2:$P$2,0))*INDEX(Output!$B$3:$P$17,MATCH('Defensive Summary'!L$1,Output!$A$3:$A$17,0),MATCH('Defensive Summary'!$B58,Output!$B$2:$P$2,0))</f>
        <v>1</v>
      </c>
      <c r="M58" s="24">
        <f>INDEX(Output!$B$3:$P$17,MATCH('Defensive Summary'!M$1,Output!$A$3:$A$17,0),MATCH('Defensive Summary'!$A58,Output!$B$2:$P$2,0))*INDEX(Output!$B$3:$P$17,MATCH('Defensive Summary'!M$1,Output!$A$3:$A$17,0),MATCH('Defensive Summary'!$B58,Output!$B$2:$P$2,0))</f>
        <v>2</v>
      </c>
      <c r="N58" s="24">
        <f>INDEX(Output!$B$3:$P$17,MATCH('Defensive Summary'!N$1,Output!$A$3:$A$17,0),MATCH('Defensive Summary'!$A58,Output!$B$2:$P$2,0))*INDEX(Output!$B$3:$P$17,MATCH('Defensive Summary'!N$1,Output!$A$3:$A$17,0),MATCH('Defensive Summary'!$B58,Output!$B$2:$P$2,0))</f>
        <v>1</v>
      </c>
      <c r="O58" s="24">
        <f>INDEX(Output!$B$3:$P$17,MATCH('Defensive Summary'!O$1,Output!$A$3:$A$17,0),MATCH('Defensive Summary'!$A58,Output!$B$2:$P$2,0))*INDEX(Output!$B$3:$P$17,MATCH('Defensive Summary'!O$1,Output!$A$3:$A$17,0),MATCH('Defensive Summary'!$B58,Output!$B$2:$P$2,0))</f>
        <v>2</v>
      </c>
      <c r="P58" s="24">
        <f>INDEX(Output!$B$3:$P$17,MATCH('Defensive Summary'!P$1,Output!$A$3:$A$17,0),MATCH('Defensive Summary'!$A58,Output!$B$2:$P$2,0))*INDEX(Output!$B$3:$P$17,MATCH('Defensive Summary'!P$1,Output!$A$3:$A$17,0),MATCH('Defensive Summary'!$B58,Output!$B$2:$P$2,0))</f>
        <v>1</v>
      </c>
      <c r="Q58" s="24">
        <f>INDEX(Output!$B$3:$P$17,MATCH('Defensive Summary'!Q$1,Output!$A$3:$A$17,0),MATCH('Defensive Summary'!$A58,Output!$B$2:$P$2,0))*INDEX(Output!$B$3:$P$17,MATCH('Defensive Summary'!Q$1,Output!$A$3:$A$17,0),MATCH('Defensive Summary'!$B58,Output!$B$2:$P$2,0))</f>
        <v>1</v>
      </c>
      <c r="R58" s="24"/>
      <c r="S58" s="25">
        <f t="shared" si="0"/>
        <v>3</v>
      </c>
      <c r="T58" s="22" t="s">
        <v>4</v>
      </c>
      <c r="U58" s="22" t="s">
        <v>11</v>
      </c>
      <c r="V58" s="24" cm="1">
        <f t="array" ref="V58">_xlfn.IFS(C58=1,0,C58=2,-1,C58=4,-2,C58=0.5,1,C58=0.25,2,C58=0,4)</f>
        <v>1</v>
      </c>
      <c r="W58" s="24" cm="1">
        <f t="array" ref="W58">_xlfn.IFS(D58=1,0,D58=2,-1,D58=4,-2,D58=0.5,1,D58=0.25,2,D58=0,4)</f>
        <v>0</v>
      </c>
      <c r="X58" s="24" cm="1">
        <f t="array" ref="X58">_xlfn.IFS(E58=1,0,E58=2,-1,E58=4,-2,E58=0.5,1,E58=0.25,2,E58=0,4)</f>
        <v>1</v>
      </c>
      <c r="Y58" s="24" cm="1">
        <f t="array" ref="Y58">_xlfn.IFS(F58=1,0,F58=2,-1,F58=4,-2,F58=0.5,1,F58=0.25,2,F58=0,4)</f>
        <v>4</v>
      </c>
      <c r="Z58" s="24" cm="1">
        <f t="array" ref="Z58">_xlfn.IFS(G58=1,0,G58=2,-1,G58=4,-2,G58=0.5,1,G58=0.25,2,G58=0,4)</f>
        <v>1</v>
      </c>
      <c r="AA58" s="24" cm="1">
        <f t="array" ref="AA58">_xlfn.IFS(H58=1,0,H58=2,-1,H58=4,-2,H58=0.5,1,H58=0.25,2,H58=0,4)</f>
        <v>-1</v>
      </c>
      <c r="AB58" s="24" cm="1">
        <f t="array" ref="AB58">_xlfn.IFS(I58=1,0,I58=2,-1,I58=4,-2,I58=0.5,1,I58=0.25,2,I58=0,4)</f>
        <v>0</v>
      </c>
      <c r="AC58" s="24" cm="1">
        <f t="array" ref="AC58">_xlfn.IFS(J58=1,0,J58=2,-1,J58=4,-2,J58=0.5,1,J58=0.25,2,J58=0,4)</f>
        <v>-1</v>
      </c>
      <c r="AD58" s="24" cm="1">
        <f t="array" ref="AD58">_xlfn.IFS(K58=1,0,K58=2,-1,K58=4,-2,K58=0.5,1,K58=0.25,2,K58=0,4)</f>
        <v>0</v>
      </c>
      <c r="AE58" s="24" cm="1">
        <f t="array" ref="AE58">_xlfn.IFS(L58=1,0,L58=2,-1,L58=4,-2,L58=0.5,1,L58=0.25,2,L58=0,4)</f>
        <v>0</v>
      </c>
      <c r="AF58" s="24" cm="1">
        <f t="array" ref="AF58">_xlfn.IFS(M58=1,0,M58=2,-1,M58=4,-2,M58=0.5,1,M58=0.25,2,M58=0,4)</f>
        <v>-1</v>
      </c>
      <c r="AG58" s="24" cm="1">
        <f t="array" ref="AG58">_xlfn.IFS(N58=1,0,N58=2,-1,N58=4,-2,N58=0.5,1,N58=0.25,2,N58=0,4)</f>
        <v>0</v>
      </c>
      <c r="AH58" s="24" cm="1">
        <f t="array" ref="AH58">_xlfn.IFS(O58=1,0,O58=2,-1,O58=4,-2,O58=0.5,1,O58=0.25,2,O58=0,4)</f>
        <v>-1</v>
      </c>
      <c r="AI58" s="24" cm="1">
        <f t="array" ref="AI58">_xlfn.IFS(P58=1,0,P58=2,-1,P58=4,-2,P58=0.5,1,P58=0.25,2,P58=0,4)</f>
        <v>0</v>
      </c>
      <c r="AJ58" s="24" cm="1">
        <f t="array" ref="AJ58">_xlfn.IFS(Q58=1,0,Q58=2,-1,Q58=4,-2,Q58=0.5,1,Q58=0.25,2,Q58=0,4)</f>
        <v>0</v>
      </c>
    </row>
    <row r="59" spans="1:36" x14ac:dyDescent="0.2">
      <c r="A59" s="22" t="s">
        <v>4</v>
      </c>
      <c r="B59" s="22" t="s">
        <v>12</v>
      </c>
      <c r="C59" s="24">
        <f>INDEX(Output!$B$3:$P$17,MATCH('Defensive Summary'!C$1,Output!$A$3:$A$17,0),MATCH('Defensive Summary'!$A59,Output!$B$2:$P$2,0))*INDEX(Output!$B$3:$P$17,MATCH('Defensive Summary'!C$1,Output!$A$3:$A$17,0),MATCH('Defensive Summary'!$B59,Output!$B$2:$P$2,0))</f>
        <v>1</v>
      </c>
      <c r="D59" s="24">
        <f>INDEX(Output!$B$3:$P$17,MATCH('Defensive Summary'!D$1,Output!$A$3:$A$17,0),MATCH('Defensive Summary'!$A59,Output!$B$2:$P$2,0))*INDEX(Output!$B$3:$P$17,MATCH('Defensive Summary'!D$1,Output!$A$3:$A$17,0),MATCH('Defensive Summary'!$B59,Output!$B$2:$P$2,0))</f>
        <v>2</v>
      </c>
      <c r="E59" s="24">
        <f>INDEX(Output!$B$3:$P$17,MATCH('Defensive Summary'!E$1,Output!$A$3:$A$17,0),MATCH('Defensive Summary'!$A59,Output!$B$2:$P$2,0))*INDEX(Output!$B$3:$P$17,MATCH('Defensive Summary'!E$1,Output!$A$3:$A$17,0),MATCH('Defensive Summary'!$B59,Output!$B$2:$P$2,0))</f>
        <v>1</v>
      </c>
      <c r="F59" s="24">
        <f>INDEX(Output!$B$3:$P$17,MATCH('Defensive Summary'!F$1,Output!$A$3:$A$17,0),MATCH('Defensive Summary'!$A59,Output!$B$2:$P$2,0))*INDEX(Output!$B$3:$P$17,MATCH('Defensive Summary'!F$1,Output!$A$3:$A$17,0),MATCH('Defensive Summary'!$B59,Output!$B$2:$P$2,0))</f>
        <v>0</v>
      </c>
      <c r="G59" s="24">
        <f>INDEX(Output!$B$3:$P$17,MATCH('Defensive Summary'!G$1,Output!$A$3:$A$17,0),MATCH('Defensive Summary'!$A59,Output!$B$2:$P$2,0))*INDEX(Output!$B$3:$P$17,MATCH('Defensive Summary'!G$1,Output!$A$3:$A$17,0),MATCH('Defensive Summary'!$B59,Output!$B$2:$P$2,0))</f>
        <v>0.25</v>
      </c>
      <c r="H59" s="24">
        <f>INDEX(Output!$B$3:$P$17,MATCH('Defensive Summary'!H$1,Output!$A$3:$A$17,0),MATCH('Defensive Summary'!$A59,Output!$B$2:$P$2,0))*INDEX(Output!$B$3:$P$17,MATCH('Defensive Summary'!H$1,Output!$A$3:$A$17,0),MATCH('Defensive Summary'!$B59,Output!$B$2:$P$2,0))</f>
        <v>4</v>
      </c>
      <c r="I59" s="24">
        <f>INDEX(Output!$B$3:$P$17,MATCH('Defensive Summary'!I$1,Output!$A$3:$A$17,0),MATCH('Defensive Summary'!$A59,Output!$B$2:$P$2,0))*INDEX(Output!$B$3:$P$17,MATCH('Defensive Summary'!I$1,Output!$A$3:$A$17,0),MATCH('Defensive Summary'!$B59,Output!$B$2:$P$2,0))</f>
        <v>4</v>
      </c>
      <c r="J59" s="24">
        <f>INDEX(Output!$B$3:$P$17,MATCH('Defensive Summary'!J$1,Output!$A$3:$A$17,0),MATCH('Defensive Summary'!$A59,Output!$B$2:$P$2,0))*INDEX(Output!$B$3:$P$17,MATCH('Defensive Summary'!J$1,Output!$A$3:$A$17,0),MATCH('Defensive Summary'!$B59,Output!$B$2:$P$2,0))</f>
        <v>1</v>
      </c>
      <c r="K59" s="24">
        <f>INDEX(Output!$B$3:$P$17,MATCH('Defensive Summary'!K$1,Output!$A$3:$A$17,0),MATCH('Defensive Summary'!$A59,Output!$B$2:$P$2,0))*INDEX(Output!$B$3:$P$17,MATCH('Defensive Summary'!K$1,Output!$A$3:$A$17,0),MATCH('Defensive Summary'!$B59,Output!$B$2:$P$2,0))</f>
        <v>1</v>
      </c>
      <c r="L59" s="24">
        <f>INDEX(Output!$B$3:$P$17,MATCH('Defensive Summary'!L$1,Output!$A$3:$A$17,0),MATCH('Defensive Summary'!$A59,Output!$B$2:$P$2,0))*INDEX(Output!$B$3:$P$17,MATCH('Defensive Summary'!L$1,Output!$A$3:$A$17,0),MATCH('Defensive Summary'!$B59,Output!$B$2:$P$2,0))</f>
        <v>2</v>
      </c>
      <c r="M59" s="24">
        <f>INDEX(Output!$B$3:$P$17,MATCH('Defensive Summary'!M$1,Output!$A$3:$A$17,0),MATCH('Defensive Summary'!$A59,Output!$B$2:$P$2,0))*INDEX(Output!$B$3:$P$17,MATCH('Defensive Summary'!M$1,Output!$A$3:$A$17,0),MATCH('Defensive Summary'!$B59,Output!$B$2:$P$2,0))</f>
        <v>2</v>
      </c>
      <c r="N59" s="24">
        <f>INDEX(Output!$B$3:$P$17,MATCH('Defensive Summary'!N$1,Output!$A$3:$A$17,0),MATCH('Defensive Summary'!$A59,Output!$B$2:$P$2,0))*INDEX(Output!$B$3:$P$17,MATCH('Defensive Summary'!N$1,Output!$A$3:$A$17,0),MATCH('Defensive Summary'!$B59,Output!$B$2:$P$2,0))</f>
        <v>0</v>
      </c>
      <c r="O59" s="24">
        <f>INDEX(Output!$B$3:$P$17,MATCH('Defensive Summary'!O$1,Output!$A$3:$A$17,0),MATCH('Defensive Summary'!$A59,Output!$B$2:$P$2,0))*INDEX(Output!$B$3:$P$17,MATCH('Defensive Summary'!O$1,Output!$A$3:$A$17,0),MATCH('Defensive Summary'!$B59,Output!$B$2:$P$2,0))</f>
        <v>0.5</v>
      </c>
      <c r="P59" s="24">
        <f>INDEX(Output!$B$3:$P$17,MATCH('Defensive Summary'!P$1,Output!$A$3:$A$17,0),MATCH('Defensive Summary'!$A59,Output!$B$2:$P$2,0))*INDEX(Output!$B$3:$P$17,MATCH('Defensive Summary'!P$1,Output!$A$3:$A$17,0),MATCH('Defensive Summary'!$B59,Output!$B$2:$P$2,0))</f>
        <v>0</v>
      </c>
      <c r="Q59" s="24">
        <f>INDEX(Output!$B$3:$P$17,MATCH('Defensive Summary'!Q$1,Output!$A$3:$A$17,0),MATCH('Defensive Summary'!$A59,Output!$B$2:$P$2,0))*INDEX(Output!$B$3:$P$17,MATCH('Defensive Summary'!Q$1,Output!$A$3:$A$17,0),MATCH('Defensive Summary'!$B59,Output!$B$2:$P$2,0))</f>
        <v>1</v>
      </c>
      <c r="R59" s="24"/>
      <c r="S59" s="25">
        <f t="shared" si="0"/>
        <v>8</v>
      </c>
      <c r="T59" s="22" t="s">
        <v>4</v>
      </c>
      <c r="U59" s="22" t="s">
        <v>12</v>
      </c>
      <c r="V59" s="24" cm="1">
        <f t="array" ref="V59">_xlfn.IFS(C59=1,0,C59=2,-1,C59=4,-2,C59=0.5,1,C59=0.25,2,C59=0,4)</f>
        <v>0</v>
      </c>
      <c r="W59" s="24" cm="1">
        <f t="array" ref="W59">_xlfn.IFS(D59=1,0,D59=2,-1,D59=4,-2,D59=0.5,1,D59=0.25,2,D59=0,4)</f>
        <v>-1</v>
      </c>
      <c r="X59" s="24" cm="1">
        <f t="array" ref="X59">_xlfn.IFS(E59=1,0,E59=2,-1,E59=4,-2,E59=0.5,1,E59=0.25,2,E59=0,4)</f>
        <v>0</v>
      </c>
      <c r="Y59" s="24" cm="1">
        <f t="array" ref="Y59">_xlfn.IFS(F59=1,0,F59=2,-1,F59=4,-2,F59=0.5,1,F59=0.25,2,F59=0,4)</f>
        <v>4</v>
      </c>
      <c r="Z59" s="24" cm="1">
        <f t="array" ref="Z59">_xlfn.IFS(G59=1,0,G59=2,-1,G59=4,-2,G59=0.5,1,G59=0.25,2,G59=0,4)</f>
        <v>2</v>
      </c>
      <c r="AA59" s="24" cm="1">
        <f t="array" ref="AA59">_xlfn.IFS(H59=1,0,H59=2,-1,H59=4,-2,H59=0.5,1,H59=0.25,2,H59=0,4)</f>
        <v>-2</v>
      </c>
      <c r="AB59" s="24" cm="1">
        <f t="array" ref="AB59">_xlfn.IFS(I59=1,0,I59=2,-1,I59=4,-2,I59=0.5,1,I59=0.25,2,I59=0,4)</f>
        <v>-2</v>
      </c>
      <c r="AC59" s="24" cm="1">
        <f t="array" ref="AC59">_xlfn.IFS(J59=1,0,J59=2,-1,J59=4,-2,J59=0.5,1,J59=0.25,2,J59=0,4)</f>
        <v>0</v>
      </c>
      <c r="AD59" s="24" cm="1">
        <f t="array" ref="AD59">_xlfn.IFS(K59=1,0,K59=2,-1,K59=4,-2,K59=0.5,1,K59=0.25,2,K59=0,4)</f>
        <v>0</v>
      </c>
      <c r="AE59" s="24" cm="1">
        <f t="array" ref="AE59">_xlfn.IFS(L59=1,0,L59=2,-1,L59=4,-2,L59=0.5,1,L59=0.25,2,L59=0,4)</f>
        <v>-1</v>
      </c>
      <c r="AF59" s="24" cm="1">
        <f t="array" ref="AF59">_xlfn.IFS(M59=1,0,M59=2,-1,M59=4,-2,M59=0.5,1,M59=0.25,2,M59=0,4)</f>
        <v>-1</v>
      </c>
      <c r="AG59" s="24" cm="1">
        <f t="array" ref="AG59">_xlfn.IFS(N59=1,0,N59=2,-1,N59=4,-2,N59=0.5,1,N59=0.25,2,N59=0,4)</f>
        <v>4</v>
      </c>
      <c r="AH59" s="24" cm="1">
        <f t="array" ref="AH59">_xlfn.IFS(O59=1,0,O59=2,-1,O59=4,-2,O59=0.5,1,O59=0.25,2,O59=0,4)</f>
        <v>1</v>
      </c>
      <c r="AI59" s="24" cm="1">
        <f t="array" ref="AI59">_xlfn.IFS(P59=1,0,P59=2,-1,P59=4,-2,P59=0.5,1,P59=0.25,2,P59=0,4)</f>
        <v>4</v>
      </c>
      <c r="AJ59" s="24" cm="1">
        <f t="array" ref="AJ59">_xlfn.IFS(Q59=1,0,Q59=2,-1,Q59=4,-2,Q59=0.5,1,Q59=0.25,2,Q59=0,4)</f>
        <v>0</v>
      </c>
    </row>
    <row r="60" spans="1:36" x14ac:dyDescent="0.2">
      <c r="A60" s="22" t="s">
        <v>4</v>
      </c>
      <c r="B60" s="22" t="s">
        <v>13</v>
      </c>
      <c r="C60" s="24">
        <f>INDEX(Output!$B$3:$P$17,MATCH('Defensive Summary'!C$1,Output!$A$3:$A$17,0),MATCH('Defensive Summary'!$A60,Output!$B$2:$P$2,0))*INDEX(Output!$B$3:$P$17,MATCH('Defensive Summary'!C$1,Output!$A$3:$A$17,0),MATCH('Defensive Summary'!$B60,Output!$B$2:$P$2,0))</f>
        <v>0.5</v>
      </c>
      <c r="D60" s="24">
        <f>INDEX(Output!$B$3:$P$17,MATCH('Defensive Summary'!D$1,Output!$A$3:$A$17,0),MATCH('Defensive Summary'!$A60,Output!$B$2:$P$2,0))*INDEX(Output!$B$3:$P$17,MATCH('Defensive Summary'!D$1,Output!$A$3:$A$17,0),MATCH('Defensive Summary'!$B60,Output!$B$2:$P$2,0))</f>
        <v>0.5</v>
      </c>
      <c r="E60" s="24">
        <f>INDEX(Output!$B$3:$P$17,MATCH('Defensive Summary'!E$1,Output!$A$3:$A$17,0),MATCH('Defensive Summary'!$A60,Output!$B$2:$P$2,0))*INDEX(Output!$B$3:$P$17,MATCH('Defensive Summary'!E$1,Output!$A$3:$A$17,0),MATCH('Defensive Summary'!$B60,Output!$B$2:$P$2,0))</f>
        <v>0.5</v>
      </c>
      <c r="F60" s="24">
        <f>INDEX(Output!$B$3:$P$17,MATCH('Defensive Summary'!F$1,Output!$A$3:$A$17,0),MATCH('Defensive Summary'!$A60,Output!$B$2:$P$2,0))*INDEX(Output!$B$3:$P$17,MATCH('Defensive Summary'!F$1,Output!$A$3:$A$17,0),MATCH('Defensive Summary'!$B60,Output!$B$2:$P$2,0))</f>
        <v>0</v>
      </c>
      <c r="G60" s="24">
        <f>INDEX(Output!$B$3:$P$17,MATCH('Defensive Summary'!G$1,Output!$A$3:$A$17,0),MATCH('Defensive Summary'!$A60,Output!$B$2:$P$2,0))*INDEX(Output!$B$3:$P$17,MATCH('Defensive Summary'!G$1,Output!$A$3:$A$17,0),MATCH('Defensive Summary'!$B60,Output!$B$2:$P$2,0))</f>
        <v>0.5</v>
      </c>
      <c r="H60" s="24">
        <f>INDEX(Output!$B$3:$P$17,MATCH('Defensive Summary'!H$1,Output!$A$3:$A$17,0),MATCH('Defensive Summary'!$A60,Output!$B$2:$P$2,0))*INDEX(Output!$B$3:$P$17,MATCH('Defensive Summary'!H$1,Output!$A$3:$A$17,0),MATCH('Defensive Summary'!$B60,Output!$B$2:$P$2,0))</f>
        <v>1</v>
      </c>
      <c r="I60" s="24">
        <f>INDEX(Output!$B$3:$P$17,MATCH('Defensive Summary'!I$1,Output!$A$3:$A$17,0),MATCH('Defensive Summary'!$A60,Output!$B$2:$P$2,0))*INDEX(Output!$B$3:$P$17,MATCH('Defensive Summary'!I$1,Output!$A$3:$A$17,0),MATCH('Defensive Summary'!$B60,Output!$B$2:$P$2,0))</f>
        <v>1</v>
      </c>
      <c r="J60" s="24">
        <f>INDEX(Output!$B$3:$P$17,MATCH('Defensive Summary'!J$1,Output!$A$3:$A$17,0),MATCH('Defensive Summary'!$A60,Output!$B$2:$P$2,0))*INDEX(Output!$B$3:$P$17,MATCH('Defensive Summary'!J$1,Output!$A$3:$A$17,0),MATCH('Defensive Summary'!$B60,Output!$B$2:$P$2,0))</f>
        <v>2</v>
      </c>
      <c r="K60" s="24">
        <f>INDEX(Output!$B$3:$P$17,MATCH('Defensive Summary'!K$1,Output!$A$3:$A$17,0),MATCH('Defensive Summary'!$A60,Output!$B$2:$P$2,0))*INDEX(Output!$B$3:$P$17,MATCH('Defensive Summary'!K$1,Output!$A$3:$A$17,0),MATCH('Defensive Summary'!$B60,Output!$B$2:$P$2,0))</f>
        <v>2</v>
      </c>
      <c r="L60" s="24">
        <f>INDEX(Output!$B$3:$P$17,MATCH('Defensive Summary'!L$1,Output!$A$3:$A$17,0),MATCH('Defensive Summary'!$A60,Output!$B$2:$P$2,0))*INDEX(Output!$B$3:$P$17,MATCH('Defensive Summary'!L$1,Output!$A$3:$A$17,0),MATCH('Defensive Summary'!$B60,Output!$B$2:$P$2,0))</f>
        <v>1</v>
      </c>
      <c r="M60" s="24">
        <f>INDEX(Output!$B$3:$P$17,MATCH('Defensive Summary'!M$1,Output!$A$3:$A$17,0),MATCH('Defensive Summary'!$A60,Output!$B$2:$P$2,0))*INDEX(Output!$B$3:$P$17,MATCH('Defensive Summary'!M$1,Output!$A$3:$A$17,0),MATCH('Defensive Summary'!$B60,Output!$B$2:$P$2,0))</f>
        <v>1</v>
      </c>
      <c r="N60" s="24">
        <f>INDEX(Output!$B$3:$P$17,MATCH('Defensive Summary'!N$1,Output!$A$3:$A$17,0),MATCH('Defensive Summary'!$A60,Output!$B$2:$P$2,0))*INDEX(Output!$B$3:$P$17,MATCH('Defensive Summary'!N$1,Output!$A$3:$A$17,0),MATCH('Defensive Summary'!$B60,Output!$B$2:$P$2,0))</f>
        <v>1</v>
      </c>
      <c r="O60" s="24">
        <f>INDEX(Output!$B$3:$P$17,MATCH('Defensive Summary'!O$1,Output!$A$3:$A$17,0),MATCH('Defensive Summary'!$A60,Output!$B$2:$P$2,0))*INDEX(Output!$B$3:$P$17,MATCH('Defensive Summary'!O$1,Output!$A$3:$A$17,0),MATCH('Defensive Summary'!$B60,Output!$B$2:$P$2,0))</f>
        <v>2</v>
      </c>
      <c r="P60" s="24">
        <f>INDEX(Output!$B$3:$P$17,MATCH('Defensive Summary'!P$1,Output!$A$3:$A$17,0),MATCH('Defensive Summary'!$A60,Output!$B$2:$P$2,0))*INDEX(Output!$B$3:$P$17,MATCH('Defensive Summary'!P$1,Output!$A$3:$A$17,0),MATCH('Defensive Summary'!$B60,Output!$B$2:$P$2,0))</f>
        <v>1</v>
      </c>
      <c r="Q60" s="24">
        <f>INDEX(Output!$B$3:$P$17,MATCH('Defensive Summary'!Q$1,Output!$A$3:$A$17,0),MATCH('Defensive Summary'!$A60,Output!$B$2:$P$2,0))*INDEX(Output!$B$3:$P$17,MATCH('Defensive Summary'!Q$1,Output!$A$3:$A$17,0),MATCH('Defensive Summary'!$B60,Output!$B$2:$P$2,0))</f>
        <v>1</v>
      </c>
      <c r="R60" s="24"/>
      <c r="S60" s="25">
        <f t="shared" si="0"/>
        <v>5</v>
      </c>
      <c r="T60" s="22" t="s">
        <v>4</v>
      </c>
      <c r="U60" s="22" t="s">
        <v>13</v>
      </c>
      <c r="V60" s="24" cm="1">
        <f t="array" ref="V60">_xlfn.IFS(C60=1,0,C60=2,-1,C60=4,-2,C60=0.5,1,C60=0.25,2,C60=0,4)</f>
        <v>1</v>
      </c>
      <c r="W60" s="24" cm="1">
        <f t="array" ref="W60">_xlfn.IFS(D60=1,0,D60=2,-1,D60=4,-2,D60=0.5,1,D60=0.25,2,D60=0,4)</f>
        <v>1</v>
      </c>
      <c r="X60" s="24" cm="1">
        <f t="array" ref="X60">_xlfn.IFS(E60=1,0,E60=2,-1,E60=4,-2,E60=0.5,1,E60=0.25,2,E60=0,4)</f>
        <v>1</v>
      </c>
      <c r="Y60" s="24" cm="1">
        <f t="array" ref="Y60">_xlfn.IFS(F60=1,0,F60=2,-1,F60=4,-2,F60=0.5,1,F60=0.25,2,F60=0,4)</f>
        <v>4</v>
      </c>
      <c r="Z60" s="24" cm="1">
        <f t="array" ref="Z60">_xlfn.IFS(G60=1,0,G60=2,-1,G60=4,-2,G60=0.5,1,G60=0.25,2,G60=0,4)</f>
        <v>1</v>
      </c>
      <c r="AA60" s="24" cm="1">
        <f t="array" ref="AA60">_xlfn.IFS(H60=1,0,H60=2,-1,H60=4,-2,H60=0.5,1,H60=0.25,2,H60=0,4)</f>
        <v>0</v>
      </c>
      <c r="AB60" s="24" cm="1">
        <f t="array" ref="AB60">_xlfn.IFS(I60=1,0,I60=2,-1,I60=4,-2,I60=0.5,1,I60=0.25,2,I60=0,4)</f>
        <v>0</v>
      </c>
      <c r="AC60" s="24" cm="1">
        <f t="array" ref="AC60">_xlfn.IFS(J60=1,0,J60=2,-1,J60=4,-2,J60=0.5,1,J60=0.25,2,J60=0,4)</f>
        <v>-1</v>
      </c>
      <c r="AD60" s="24" cm="1">
        <f t="array" ref="AD60">_xlfn.IFS(K60=1,0,K60=2,-1,K60=4,-2,K60=0.5,1,K60=0.25,2,K60=0,4)</f>
        <v>-1</v>
      </c>
      <c r="AE60" s="24" cm="1">
        <f t="array" ref="AE60">_xlfn.IFS(L60=1,0,L60=2,-1,L60=4,-2,L60=0.5,1,L60=0.25,2,L60=0,4)</f>
        <v>0</v>
      </c>
      <c r="AF60" s="24" cm="1">
        <f t="array" ref="AF60">_xlfn.IFS(M60=1,0,M60=2,-1,M60=4,-2,M60=0.5,1,M60=0.25,2,M60=0,4)</f>
        <v>0</v>
      </c>
      <c r="AG60" s="24" cm="1">
        <f t="array" ref="AG60">_xlfn.IFS(N60=1,0,N60=2,-1,N60=4,-2,N60=0.5,1,N60=0.25,2,N60=0,4)</f>
        <v>0</v>
      </c>
      <c r="AH60" s="24" cm="1">
        <f t="array" ref="AH60">_xlfn.IFS(O60=1,0,O60=2,-1,O60=4,-2,O60=0.5,1,O60=0.25,2,O60=0,4)</f>
        <v>-1</v>
      </c>
      <c r="AI60" s="24" cm="1">
        <f t="array" ref="AI60">_xlfn.IFS(P60=1,0,P60=2,-1,P60=4,-2,P60=0.5,1,P60=0.25,2,P60=0,4)</f>
        <v>0</v>
      </c>
      <c r="AJ60" s="24" cm="1">
        <f t="array" ref="AJ60">_xlfn.IFS(Q60=1,0,Q60=2,-1,Q60=4,-2,Q60=0.5,1,Q60=0.25,2,Q60=0,4)</f>
        <v>0</v>
      </c>
    </row>
    <row r="61" spans="1:36" x14ac:dyDescent="0.2">
      <c r="A61" s="22" t="s">
        <v>4</v>
      </c>
      <c r="B61" s="22" t="s">
        <v>14</v>
      </c>
      <c r="C61" s="24">
        <f>INDEX(Output!$B$3:$P$17,MATCH('Defensive Summary'!C$1,Output!$A$3:$A$17,0),MATCH('Defensive Summary'!$A61,Output!$B$2:$P$2,0))*INDEX(Output!$B$3:$P$17,MATCH('Defensive Summary'!C$1,Output!$A$3:$A$17,0),MATCH('Defensive Summary'!$B61,Output!$B$2:$P$2,0))</f>
        <v>0.5</v>
      </c>
      <c r="D61" s="24">
        <f>INDEX(Output!$B$3:$P$17,MATCH('Defensive Summary'!D$1,Output!$A$3:$A$17,0),MATCH('Defensive Summary'!$A61,Output!$B$2:$P$2,0))*INDEX(Output!$B$3:$P$17,MATCH('Defensive Summary'!D$1,Output!$A$3:$A$17,0),MATCH('Defensive Summary'!$B61,Output!$B$2:$P$2,0))</f>
        <v>1</v>
      </c>
      <c r="E61" s="24">
        <f>INDEX(Output!$B$3:$P$17,MATCH('Defensive Summary'!E$1,Output!$A$3:$A$17,0),MATCH('Defensive Summary'!$A61,Output!$B$2:$P$2,0))*INDEX(Output!$B$3:$P$17,MATCH('Defensive Summary'!E$1,Output!$A$3:$A$17,0),MATCH('Defensive Summary'!$B61,Output!$B$2:$P$2,0))</f>
        <v>0.5</v>
      </c>
      <c r="F61" s="24">
        <f>INDEX(Output!$B$3:$P$17,MATCH('Defensive Summary'!F$1,Output!$A$3:$A$17,0),MATCH('Defensive Summary'!$A61,Output!$B$2:$P$2,0))*INDEX(Output!$B$3:$P$17,MATCH('Defensive Summary'!F$1,Output!$A$3:$A$17,0),MATCH('Defensive Summary'!$B61,Output!$B$2:$P$2,0))</f>
        <v>0</v>
      </c>
      <c r="G61" s="24">
        <f>INDEX(Output!$B$3:$P$17,MATCH('Defensive Summary'!G$1,Output!$A$3:$A$17,0),MATCH('Defensive Summary'!$A61,Output!$B$2:$P$2,0))*INDEX(Output!$B$3:$P$17,MATCH('Defensive Summary'!G$1,Output!$A$3:$A$17,0),MATCH('Defensive Summary'!$B61,Output!$B$2:$P$2,0))</f>
        <v>0.5</v>
      </c>
      <c r="H61" s="24">
        <f>INDEX(Output!$B$3:$P$17,MATCH('Defensive Summary'!H$1,Output!$A$3:$A$17,0),MATCH('Defensive Summary'!$A61,Output!$B$2:$P$2,0))*INDEX(Output!$B$3:$P$17,MATCH('Defensive Summary'!H$1,Output!$A$3:$A$17,0),MATCH('Defensive Summary'!$B61,Output!$B$2:$P$2,0))</f>
        <v>2</v>
      </c>
      <c r="I61" s="24">
        <f>INDEX(Output!$B$3:$P$17,MATCH('Defensive Summary'!I$1,Output!$A$3:$A$17,0),MATCH('Defensive Summary'!$A61,Output!$B$2:$P$2,0))*INDEX(Output!$B$3:$P$17,MATCH('Defensive Summary'!I$1,Output!$A$3:$A$17,0),MATCH('Defensive Summary'!$B61,Output!$B$2:$P$2,0))</f>
        <v>2</v>
      </c>
      <c r="J61" s="24">
        <f>INDEX(Output!$B$3:$P$17,MATCH('Defensive Summary'!J$1,Output!$A$3:$A$17,0),MATCH('Defensive Summary'!$A61,Output!$B$2:$P$2,0))*INDEX(Output!$B$3:$P$17,MATCH('Defensive Summary'!J$1,Output!$A$3:$A$17,0),MATCH('Defensive Summary'!$B61,Output!$B$2:$P$2,0))</f>
        <v>2</v>
      </c>
      <c r="K61" s="24">
        <f>INDEX(Output!$B$3:$P$17,MATCH('Defensive Summary'!K$1,Output!$A$3:$A$17,0),MATCH('Defensive Summary'!$A61,Output!$B$2:$P$2,0))*INDEX(Output!$B$3:$P$17,MATCH('Defensive Summary'!K$1,Output!$A$3:$A$17,0),MATCH('Defensive Summary'!$B61,Output!$B$2:$P$2,0))</f>
        <v>1</v>
      </c>
      <c r="L61" s="24">
        <f>INDEX(Output!$B$3:$P$17,MATCH('Defensive Summary'!L$1,Output!$A$3:$A$17,0),MATCH('Defensive Summary'!$A61,Output!$B$2:$P$2,0))*INDEX(Output!$B$3:$P$17,MATCH('Defensive Summary'!L$1,Output!$A$3:$A$17,0),MATCH('Defensive Summary'!$B61,Output!$B$2:$P$2,0))</f>
        <v>1</v>
      </c>
      <c r="M61" s="24">
        <f>INDEX(Output!$B$3:$P$17,MATCH('Defensive Summary'!M$1,Output!$A$3:$A$17,0),MATCH('Defensive Summary'!$A61,Output!$B$2:$P$2,0))*INDEX(Output!$B$3:$P$17,MATCH('Defensive Summary'!M$1,Output!$A$3:$A$17,0),MATCH('Defensive Summary'!$B61,Output!$B$2:$P$2,0))</f>
        <v>2</v>
      </c>
      <c r="N61" s="24">
        <f>INDEX(Output!$B$3:$P$17,MATCH('Defensive Summary'!N$1,Output!$A$3:$A$17,0),MATCH('Defensive Summary'!$A61,Output!$B$2:$P$2,0))*INDEX(Output!$B$3:$P$17,MATCH('Defensive Summary'!N$1,Output!$A$3:$A$17,0),MATCH('Defensive Summary'!$B61,Output!$B$2:$P$2,0))</f>
        <v>2</v>
      </c>
      <c r="O61" s="24">
        <f>INDEX(Output!$B$3:$P$17,MATCH('Defensive Summary'!O$1,Output!$A$3:$A$17,0),MATCH('Defensive Summary'!$A61,Output!$B$2:$P$2,0))*INDEX(Output!$B$3:$P$17,MATCH('Defensive Summary'!O$1,Output!$A$3:$A$17,0),MATCH('Defensive Summary'!$B61,Output!$B$2:$P$2,0))</f>
        <v>1</v>
      </c>
      <c r="P61" s="24">
        <f>INDEX(Output!$B$3:$P$17,MATCH('Defensive Summary'!P$1,Output!$A$3:$A$17,0),MATCH('Defensive Summary'!$A61,Output!$B$2:$P$2,0))*INDEX(Output!$B$3:$P$17,MATCH('Defensive Summary'!P$1,Output!$A$3:$A$17,0),MATCH('Defensive Summary'!$B61,Output!$B$2:$P$2,0))</f>
        <v>2</v>
      </c>
      <c r="Q61" s="24">
        <f>INDEX(Output!$B$3:$P$17,MATCH('Defensive Summary'!Q$1,Output!$A$3:$A$17,0),MATCH('Defensive Summary'!$A61,Output!$B$2:$P$2,0))*INDEX(Output!$B$3:$P$17,MATCH('Defensive Summary'!Q$1,Output!$A$3:$A$17,0),MATCH('Defensive Summary'!$B61,Output!$B$2:$P$2,0))</f>
        <v>1</v>
      </c>
      <c r="R61" s="24"/>
      <c r="S61" s="25">
        <f t="shared" si="0"/>
        <v>1</v>
      </c>
      <c r="T61" s="22" t="s">
        <v>4</v>
      </c>
      <c r="U61" s="22" t="s">
        <v>14</v>
      </c>
      <c r="V61" s="24" cm="1">
        <f t="array" ref="V61">_xlfn.IFS(C61=1,0,C61=2,-1,C61=4,-2,C61=0.5,1,C61=0.25,2,C61=0,4)</f>
        <v>1</v>
      </c>
      <c r="W61" s="24" cm="1">
        <f t="array" ref="W61">_xlfn.IFS(D61=1,0,D61=2,-1,D61=4,-2,D61=0.5,1,D61=0.25,2,D61=0,4)</f>
        <v>0</v>
      </c>
      <c r="X61" s="24" cm="1">
        <f t="array" ref="X61">_xlfn.IFS(E61=1,0,E61=2,-1,E61=4,-2,E61=0.5,1,E61=0.25,2,E61=0,4)</f>
        <v>1</v>
      </c>
      <c r="Y61" s="24" cm="1">
        <f t="array" ref="Y61">_xlfn.IFS(F61=1,0,F61=2,-1,F61=4,-2,F61=0.5,1,F61=0.25,2,F61=0,4)</f>
        <v>4</v>
      </c>
      <c r="Z61" s="24" cm="1">
        <f t="array" ref="Z61">_xlfn.IFS(G61=1,0,G61=2,-1,G61=4,-2,G61=0.5,1,G61=0.25,2,G61=0,4)</f>
        <v>1</v>
      </c>
      <c r="AA61" s="24" cm="1">
        <f t="array" ref="AA61">_xlfn.IFS(H61=1,0,H61=2,-1,H61=4,-2,H61=0.5,1,H61=0.25,2,H61=0,4)</f>
        <v>-1</v>
      </c>
      <c r="AB61" s="24" cm="1">
        <f t="array" ref="AB61">_xlfn.IFS(I61=1,0,I61=2,-1,I61=4,-2,I61=0.5,1,I61=0.25,2,I61=0,4)</f>
        <v>-1</v>
      </c>
      <c r="AC61" s="24" cm="1">
        <f t="array" ref="AC61">_xlfn.IFS(J61=1,0,J61=2,-1,J61=4,-2,J61=0.5,1,J61=0.25,2,J61=0,4)</f>
        <v>-1</v>
      </c>
      <c r="AD61" s="24" cm="1">
        <f t="array" ref="AD61">_xlfn.IFS(K61=1,0,K61=2,-1,K61=4,-2,K61=0.5,1,K61=0.25,2,K61=0,4)</f>
        <v>0</v>
      </c>
      <c r="AE61" s="24" cm="1">
        <f t="array" ref="AE61">_xlfn.IFS(L61=1,0,L61=2,-1,L61=4,-2,L61=0.5,1,L61=0.25,2,L61=0,4)</f>
        <v>0</v>
      </c>
      <c r="AF61" s="24" cm="1">
        <f t="array" ref="AF61">_xlfn.IFS(M61=1,0,M61=2,-1,M61=4,-2,M61=0.5,1,M61=0.25,2,M61=0,4)</f>
        <v>-1</v>
      </c>
      <c r="AG61" s="24" cm="1">
        <f t="array" ref="AG61">_xlfn.IFS(N61=1,0,N61=2,-1,N61=4,-2,N61=0.5,1,N61=0.25,2,N61=0,4)</f>
        <v>-1</v>
      </c>
      <c r="AH61" s="24" cm="1">
        <f t="array" ref="AH61">_xlfn.IFS(O61=1,0,O61=2,-1,O61=4,-2,O61=0.5,1,O61=0.25,2,O61=0,4)</f>
        <v>0</v>
      </c>
      <c r="AI61" s="24" cm="1">
        <f t="array" ref="AI61">_xlfn.IFS(P61=1,0,P61=2,-1,P61=4,-2,P61=0.5,1,P61=0.25,2,P61=0,4)</f>
        <v>-1</v>
      </c>
      <c r="AJ61" s="24" cm="1">
        <f t="array" ref="AJ61">_xlfn.IFS(Q61=1,0,Q61=2,-1,Q61=4,-2,Q61=0.5,1,Q61=0.25,2,Q61=0,4)</f>
        <v>0</v>
      </c>
    </row>
    <row r="62" spans="1:36" x14ac:dyDescent="0.2">
      <c r="A62" s="22" t="s">
        <v>96</v>
      </c>
      <c r="B62" s="22" t="s">
        <v>6</v>
      </c>
      <c r="C62" s="24">
        <f>INDEX(Output!$B$3:$P$17,MATCH('Defensive Summary'!C$1,Output!$A$3:$A$17,0),MATCH('Defensive Summary'!$A62,Output!$B$2:$P$2,0))*INDEX(Output!$B$3:$P$17,MATCH('Defensive Summary'!C$1,Output!$A$3:$A$17,0),MATCH('Defensive Summary'!$B62,Output!$B$2:$P$2,0))</f>
        <v>2</v>
      </c>
      <c r="D62" s="24">
        <f>INDEX(Output!$B$3:$P$17,MATCH('Defensive Summary'!D$1,Output!$A$3:$A$17,0),MATCH('Defensive Summary'!$A62,Output!$B$2:$P$2,0))*INDEX(Output!$B$3:$P$17,MATCH('Defensive Summary'!D$1,Output!$A$3:$A$17,0),MATCH('Defensive Summary'!$B62,Output!$B$2:$P$2,0))</f>
        <v>0.5</v>
      </c>
      <c r="E62" s="24">
        <f>INDEX(Output!$B$3:$P$17,MATCH('Defensive Summary'!E$1,Output!$A$3:$A$17,0),MATCH('Defensive Summary'!$A62,Output!$B$2:$P$2,0))*INDEX(Output!$B$3:$P$17,MATCH('Defensive Summary'!E$1,Output!$A$3:$A$17,0),MATCH('Defensive Summary'!$B62,Output!$B$2:$P$2,0))</f>
        <v>0.5</v>
      </c>
      <c r="F62" s="24">
        <f>INDEX(Output!$B$3:$P$17,MATCH('Defensive Summary'!F$1,Output!$A$3:$A$17,0),MATCH('Defensive Summary'!$A62,Output!$B$2:$P$2,0))*INDEX(Output!$B$3:$P$17,MATCH('Defensive Summary'!F$1,Output!$A$3:$A$17,0),MATCH('Defensive Summary'!$B62,Output!$B$2:$P$2,0))</f>
        <v>1</v>
      </c>
      <c r="G62" s="24">
        <f>INDEX(Output!$B$3:$P$17,MATCH('Defensive Summary'!G$1,Output!$A$3:$A$17,0),MATCH('Defensive Summary'!$A62,Output!$B$2:$P$2,0))*INDEX(Output!$B$3:$P$17,MATCH('Defensive Summary'!G$1,Output!$A$3:$A$17,0),MATCH('Defensive Summary'!$B62,Output!$B$2:$P$2,0))</f>
        <v>2</v>
      </c>
      <c r="H62" s="24">
        <f>INDEX(Output!$B$3:$P$17,MATCH('Defensive Summary'!H$1,Output!$A$3:$A$17,0),MATCH('Defensive Summary'!$A62,Output!$B$2:$P$2,0))*INDEX(Output!$B$3:$P$17,MATCH('Defensive Summary'!H$1,Output!$A$3:$A$17,0),MATCH('Defensive Summary'!$B62,Output!$B$2:$P$2,0))</f>
        <v>0.25</v>
      </c>
      <c r="I62" s="24">
        <f>INDEX(Output!$B$3:$P$17,MATCH('Defensive Summary'!I$1,Output!$A$3:$A$17,0),MATCH('Defensive Summary'!$A62,Output!$B$2:$P$2,0))*INDEX(Output!$B$3:$P$17,MATCH('Defensive Summary'!I$1,Output!$A$3:$A$17,0),MATCH('Defensive Summary'!$B62,Output!$B$2:$P$2,0))</f>
        <v>0.25</v>
      </c>
      <c r="J62" s="24">
        <f>INDEX(Output!$B$3:$P$17,MATCH('Defensive Summary'!J$1,Output!$A$3:$A$17,0),MATCH('Defensive Summary'!$A62,Output!$B$2:$P$2,0))*INDEX(Output!$B$3:$P$17,MATCH('Defensive Summary'!J$1,Output!$A$3:$A$17,0),MATCH('Defensive Summary'!$B62,Output!$B$2:$P$2,0))</f>
        <v>2</v>
      </c>
      <c r="K62" s="24">
        <f>INDEX(Output!$B$3:$P$17,MATCH('Defensive Summary'!K$1,Output!$A$3:$A$17,0),MATCH('Defensive Summary'!$A62,Output!$B$2:$P$2,0))*INDEX(Output!$B$3:$P$17,MATCH('Defensive Summary'!K$1,Output!$A$3:$A$17,0),MATCH('Defensive Summary'!$B62,Output!$B$2:$P$2,0))</f>
        <v>0.5</v>
      </c>
      <c r="L62" s="24">
        <f>INDEX(Output!$B$3:$P$17,MATCH('Defensive Summary'!L$1,Output!$A$3:$A$17,0),MATCH('Defensive Summary'!$A62,Output!$B$2:$P$2,0))*INDEX(Output!$B$3:$P$17,MATCH('Defensive Summary'!L$1,Output!$A$3:$A$17,0),MATCH('Defensive Summary'!$B62,Output!$B$2:$P$2,0))</f>
        <v>2</v>
      </c>
      <c r="M62" s="24">
        <f>INDEX(Output!$B$3:$P$17,MATCH('Defensive Summary'!M$1,Output!$A$3:$A$17,0),MATCH('Defensive Summary'!$A62,Output!$B$2:$P$2,0))*INDEX(Output!$B$3:$P$17,MATCH('Defensive Summary'!M$1,Output!$A$3:$A$17,0),MATCH('Defensive Summary'!$B62,Output!$B$2:$P$2,0))</f>
        <v>0.25</v>
      </c>
      <c r="N62" s="24">
        <f>INDEX(Output!$B$3:$P$17,MATCH('Defensive Summary'!N$1,Output!$A$3:$A$17,0),MATCH('Defensive Summary'!$A62,Output!$B$2:$P$2,0))*INDEX(Output!$B$3:$P$17,MATCH('Defensive Summary'!N$1,Output!$A$3:$A$17,0),MATCH('Defensive Summary'!$B62,Output!$B$2:$P$2,0))</f>
        <v>1</v>
      </c>
      <c r="O62" s="24">
        <f>INDEX(Output!$B$3:$P$17,MATCH('Defensive Summary'!O$1,Output!$A$3:$A$17,0),MATCH('Defensive Summary'!$A62,Output!$B$2:$P$2,0))*INDEX(Output!$B$3:$P$17,MATCH('Defensive Summary'!O$1,Output!$A$3:$A$17,0),MATCH('Defensive Summary'!$B62,Output!$B$2:$P$2,0))</f>
        <v>1</v>
      </c>
      <c r="P62" s="24">
        <f>INDEX(Output!$B$3:$P$17,MATCH('Defensive Summary'!P$1,Output!$A$3:$A$17,0),MATCH('Defensive Summary'!$A62,Output!$B$2:$P$2,0))*INDEX(Output!$B$3:$P$17,MATCH('Defensive Summary'!P$1,Output!$A$3:$A$17,0),MATCH('Defensive Summary'!$B62,Output!$B$2:$P$2,0))</f>
        <v>0.5</v>
      </c>
      <c r="Q62" s="24">
        <f>INDEX(Output!$B$3:$P$17,MATCH('Defensive Summary'!Q$1,Output!$A$3:$A$17,0),MATCH('Defensive Summary'!$A62,Output!$B$2:$P$2,0))*INDEX(Output!$B$3:$P$17,MATCH('Defensive Summary'!Q$1,Output!$A$3:$A$17,0),MATCH('Defensive Summary'!$B62,Output!$B$2:$P$2,0))</f>
        <v>1</v>
      </c>
      <c r="R62" s="24"/>
      <c r="S62" s="25">
        <f t="shared" si="0"/>
        <v>6</v>
      </c>
      <c r="T62" s="22" t="s">
        <v>96</v>
      </c>
      <c r="U62" s="22" t="s">
        <v>6</v>
      </c>
      <c r="V62" s="24" cm="1">
        <f t="array" ref="V62">_xlfn.IFS(C62=1,0,C62=2,-1,C62=4,-2,C62=0.5,1,C62=0.25,2,C62=0,4)</f>
        <v>-1</v>
      </c>
      <c r="W62" s="24" cm="1">
        <f t="array" ref="W62">_xlfn.IFS(D62=1,0,D62=2,-1,D62=4,-2,D62=0.5,1,D62=0.25,2,D62=0,4)</f>
        <v>1</v>
      </c>
      <c r="X62" s="24" cm="1">
        <f t="array" ref="X62">_xlfn.IFS(E62=1,0,E62=2,-1,E62=4,-2,E62=0.5,1,E62=0.25,2,E62=0,4)</f>
        <v>1</v>
      </c>
      <c r="Y62" s="24" cm="1">
        <f t="array" ref="Y62">_xlfn.IFS(F62=1,0,F62=2,-1,F62=4,-2,F62=0.5,1,F62=0.25,2,F62=0,4)</f>
        <v>0</v>
      </c>
      <c r="Z62" s="24" cm="1">
        <f t="array" ref="Z62">_xlfn.IFS(G62=1,0,G62=2,-1,G62=4,-2,G62=0.5,1,G62=0.25,2,G62=0,4)</f>
        <v>-1</v>
      </c>
      <c r="AA62" s="24" cm="1">
        <f t="array" ref="AA62">_xlfn.IFS(H62=1,0,H62=2,-1,H62=4,-2,H62=0.5,1,H62=0.25,2,H62=0,4)</f>
        <v>2</v>
      </c>
      <c r="AB62" s="24" cm="1">
        <f t="array" ref="AB62">_xlfn.IFS(I62=1,0,I62=2,-1,I62=4,-2,I62=0.5,1,I62=0.25,2,I62=0,4)</f>
        <v>2</v>
      </c>
      <c r="AC62" s="24" cm="1">
        <f t="array" ref="AC62">_xlfn.IFS(J62=1,0,J62=2,-1,J62=4,-2,J62=0.5,1,J62=0.25,2,J62=0,4)</f>
        <v>-1</v>
      </c>
      <c r="AD62" s="24" cm="1">
        <f t="array" ref="AD62">_xlfn.IFS(K62=1,0,K62=2,-1,K62=4,-2,K62=0.5,1,K62=0.25,2,K62=0,4)</f>
        <v>1</v>
      </c>
      <c r="AE62" s="24" cm="1">
        <f t="array" ref="AE62">_xlfn.IFS(L62=1,0,L62=2,-1,L62=4,-2,L62=0.5,1,L62=0.25,2,L62=0,4)</f>
        <v>-1</v>
      </c>
      <c r="AF62" s="24" cm="1">
        <f t="array" ref="AF62">_xlfn.IFS(M62=1,0,M62=2,-1,M62=4,-2,M62=0.5,1,M62=0.25,2,M62=0,4)</f>
        <v>2</v>
      </c>
      <c r="AG62" s="24" cm="1">
        <f t="array" ref="AG62">_xlfn.IFS(N62=1,0,N62=2,-1,N62=4,-2,N62=0.5,1,N62=0.25,2,N62=0,4)</f>
        <v>0</v>
      </c>
      <c r="AH62" s="24" cm="1">
        <f t="array" ref="AH62">_xlfn.IFS(O62=1,0,O62=2,-1,O62=4,-2,O62=0.5,1,O62=0.25,2,O62=0,4)</f>
        <v>0</v>
      </c>
      <c r="AI62" s="24" cm="1">
        <f t="array" ref="AI62">_xlfn.IFS(P62=1,0,P62=2,-1,P62=4,-2,P62=0.5,1,P62=0.25,2,P62=0,4)</f>
        <v>1</v>
      </c>
      <c r="AJ62" s="24" cm="1">
        <f t="array" ref="AJ62">_xlfn.IFS(Q62=1,0,Q62=2,-1,Q62=4,-2,Q62=0.5,1,Q62=0.25,2,Q62=0,4)</f>
        <v>0</v>
      </c>
    </row>
    <row r="63" spans="1:36" x14ac:dyDescent="0.2">
      <c r="A63" s="22" t="s">
        <v>96</v>
      </c>
      <c r="B63" s="22" t="s">
        <v>7</v>
      </c>
      <c r="C63" s="24">
        <f>INDEX(Output!$B$3:$P$17,MATCH('Defensive Summary'!C$1,Output!$A$3:$A$17,0),MATCH('Defensive Summary'!$A63,Output!$B$2:$P$2,0))*INDEX(Output!$B$3:$P$17,MATCH('Defensive Summary'!C$1,Output!$A$3:$A$17,0),MATCH('Defensive Summary'!$B63,Output!$B$2:$P$2,0))</f>
        <v>1</v>
      </c>
      <c r="D63" s="24">
        <f>INDEX(Output!$B$3:$P$17,MATCH('Defensive Summary'!D$1,Output!$A$3:$A$17,0),MATCH('Defensive Summary'!$A63,Output!$B$2:$P$2,0))*INDEX(Output!$B$3:$P$17,MATCH('Defensive Summary'!D$1,Output!$A$3:$A$17,0),MATCH('Defensive Summary'!$B63,Output!$B$2:$P$2,0))</f>
        <v>1</v>
      </c>
      <c r="E63" s="24">
        <f>INDEX(Output!$B$3:$P$17,MATCH('Defensive Summary'!E$1,Output!$A$3:$A$17,0),MATCH('Defensive Summary'!$A63,Output!$B$2:$P$2,0))*INDEX(Output!$B$3:$P$17,MATCH('Defensive Summary'!E$1,Output!$A$3:$A$17,0),MATCH('Defensive Summary'!$B63,Output!$B$2:$P$2,0))</f>
        <v>1</v>
      </c>
      <c r="F63" s="24">
        <f>INDEX(Output!$B$3:$P$17,MATCH('Defensive Summary'!F$1,Output!$A$3:$A$17,0),MATCH('Defensive Summary'!$A63,Output!$B$2:$P$2,0))*INDEX(Output!$B$3:$P$17,MATCH('Defensive Summary'!F$1,Output!$A$3:$A$17,0),MATCH('Defensive Summary'!$B63,Output!$B$2:$P$2,0))</f>
        <v>1</v>
      </c>
      <c r="G63" s="24">
        <f>INDEX(Output!$B$3:$P$17,MATCH('Defensive Summary'!G$1,Output!$A$3:$A$17,0),MATCH('Defensive Summary'!$A63,Output!$B$2:$P$2,0))*INDEX(Output!$B$3:$P$17,MATCH('Defensive Summary'!G$1,Output!$A$3:$A$17,0),MATCH('Defensive Summary'!$B63,Output!$B$2:$P$2,0))</f>
        <v>1</v>
      </c>
      <c r="H63" s="24">
        <f>INDEX(Output!$B$3:$P$17,MATCH('Defensive Summary'!H$1,Output!$A$3:$A$17,0),MATCH('Defensive Summary'!$A63,Output!$B$2:$P$2,0))*INDEX(Output!$B$3:$P$17,MATCH('Defensive Summary'!H$1,Output!$A$3:$A$17,0),MATCH('Defensive Summary'!$B63,Output!$B$2:$P$2,0))</f>
        <v>0.25</v>
      </c>
      <c r="I63" s="24">
        <f>INDEX(Output!$B$3:$P$17,MATCH('Defensive Summary'!I$1,Output!$A$3:$A$17,0),MATCH('Defensive Summary'!$A63,Output!$B$2:$P$2,0))*INDEX(Output!$B$3:$P$17,MATCH('Defensive Summary'!I$1,Output!$A$3:$A$17,0),MATCH('Defensive Summary'!$B63,Output!$B$2:$P$2,0))</f>
        <v>0.5</v>
      </c>
      <c r="J63" s="24">
        <f>INDEX(Output!$B$3:$P$17,MATCH('Defensive Summary'!J$1,Output!$A$3:$A$17,0),MATCH('Defensive Summary'!$A63,Output!$B$2:$P$2,0))*INDEX(Output!$B$3:$P$17,MATCH('Defensive Summary'!J$1,Output!$A$3:$A$17,0),MATCH('Defensive Summary'!$B63,Output!$B$2:$P$2,0))</f>
        <v>2</v>
      </c>
      <c r="K63" s="24">
        <f>INDEX(Output!$B$3:$P$17,MATCH('Defensive Summary'!K$1,Output!$A$3:$A$17,0),MATCH('Defensive Summary'!$A63,Output!$B$2:$P$2,0))*INDEX(Output!$B$3:$P$17,MATCH('Defensive Summary'!K$1,Output!$A$3:$A$17,0),MATCH('Defensive Summary'!$B63,Output!$B$2:$P$2,0))</f>
        <v>1</v>
      </c>
      <c r="L63" s="24">
        <f>INDEX(Output!$B$3:$P$17,MATCH('Defensive Summary'!L$1,Output!$A$3:$A$17,0),MATCH('Defensive Summary'!$A63,Output!$B$2:$P$2,0))*INDEX(Output!$B$3:$P$17,MATCH('Defensive Summary'!L$1,Output!$A$3:$A$17,0),MATCH('Defensive Summary'!$B63,Output!$B$2:$P$2,0))</f>
        <v>1</v>
      </c>
      <c r="M63" s="24">
        <f>INDEX(Output!$B$3:$P$17,MATCH('Defensive Summary'!M$1,Output!$A$3:$A$17,0),MATCH('Defensive Summary'!$A63,Output!$B$2:$P$2,0))*INDEX(Output!$B$3:$P$17,MATCH('Defensive Summary'!M$1,Output!$A$3:$A$17,0),MATCH('Defensive Summary'!$B63,Output!$B$2:$P$2,0))</f>
        <v>0</v>
      </c>
      <c r="N63" s="24">
        <f>INDEX(Output!$B$3:$P$17,MATCH('Defensive Summary'!N$1,Output!$A$3:$A$17,0),MATCH('Defensive Summary'!$A63,Output!$B$2:$P$2,0))*INDEX(Output!$B$3:$P$17,MATCH('Defensive Summary'!N$1,Output!$A$3:$A$17,0),MATCH('Defensive Summary'!$B63,Output!$B$2:$P$2,0))</f>
        <v>2</v>
      </c>
      <c r="O63" s="24">
        <f>INDEX(Output!$B$3:$P$17,MATCH('Defensive Summary'!O$1,Output!$A$3:$A$17,0),MATCH('Defensive Summary'!$A63,Output!$B$2:$P$2,0))*INDEX(Output!$B$3:$P$17,MATCH('Defensive Summary'!O$1,Output!$A$3:$A$17,0),MATCH('Defensive Summary'!$B63,Output!$B$2:$P$2,0))</f>
        <v>2</v>
      </c>
      <c r="P63" s="24">
        <f>INDEX(Output!$B$3:$P$17,MATCH('Defensive Summary'!P$1,Output!$A$3:$A$17,0),MATCH('Defensive Summary'!$A63,Output!$B$2:$P$2,0))*INDEX(Output!$B$3:$P$17,MATCH('Defensive Summary'!P$1,Output!$A$3:$A$17,0),MATCH('Defensive Summary'!$B63,Output!$B$2:$P$2,0))</f>
        <v>2</v>
      </c>
      <c r="Q63" s="24">
        <f>INDEX(Output!$B$3:$P$17,MATCH('Defensive Summary'!Q$1,Output!$A$3:$A$17,0),MATCH('Defensive Summary'!$A63,Output!$B$2:$P$2,0))*INDEX(Output!$B$3:$P$17,MATCH('Defensive Summary'!Q$1,Output!$A$3:$A$17,0),MATCH('Defensive Summary'!$B63,Output!$B$2:$P$2,0))</f>
        <v>1</v>
      </c>
      <c r="R63" s="24"/>
      <c r="S63" s="25">
        <f t="shared" si="0"/>
        <v>3</v>
      </c>
      <c r="T63" s="22" t="s">
        <v>96</v>
      </c>
      <c r="U63" s="22" t="s">
        <v>7</v>
      </c>
      <c r="V63" s="24" cm="1">
        <f t="array" ref="V63">_xlfn.IFS(C63=1,0,C63=2,-1,C63=4,-2,C63=0.5,1,C63=0.25,2,C63=0,4)</f>
        <v>0</v>
      </c>
      <c r="W63" s="24" cm="1">
        <f t="array" ref="W63">_xlfn.IFS(D63=1,0,D63=2,-1,D63=4,-2,D63=0.5,1,D63=0.25,2,D63=0,4)</f>
        <v>0</v>
      </c>
      <c r="X63" s="24" cm="1">
        <f t="array" ref="X63">_xlfn.IFS(E63=1,0,E63=2,-1,E63=4,-2,E63=0.5,1,E63=0.25,2,E63=0,4)</f>
        <v>0</v>
      </c>
      <c r="Y63" s="24" cm="1">
        <f t="array" ref="Y63">_xlfn.IFS(F63=1,0,F63=2,-1,F63=4,-2,F63=0.5,1,F63=0.25,2,F63=0,4)</f>
        <v>0</v>
      </c>
      <c r="Z63" s="24" cm="1">
        <f t="array" ref="Z63">_xlfn.IFS(G63=1,0,G63=2,-1,G63=4,-2,G63=0.5,1,G63=0.25,2,G63=0,4)</f>
        <v>0</v>
      </c>
      <c r="AA63" s="24" cm="1">
        <f t="array" ref="AA63">_xlfn.IFS(H63=1,0,H63=2,-1,H63=4,-2,H63=0.5,1,H63=0.25,2,H63=0,4)</f>
        <v>2</v>
      </c>
      <c r="AB63" s="24" cm="1">
        <f t="array" ref="AB63">_xlfn.IFS(I63=1,0,I63=2,-1,I63=4,-2,I63=0.5,1,I63=0.25,2,I63=0,4)</f>
        <v>1</v>
      </c>
      <c r="AC63" s="24" cm="1">
        <f t="array" ref="AC63">_xlfn.IFS(J63=1,0,J63=2,-1,J63=4,-2,J63=0.5,1,J63=0.25,2,J63=0,4)</f>
        <v>-1</v>
      </c>
      <c r="AD63" s="24" cm="1">
        <f t="array" ref="AD63">_xlfn.IFS(K63=1,0,K63=2,-1,K63=4,-2,K63=0.5,1,K63=0.25,2,K63=0,4)</f>
        <v>0</v>
      </c>
      <c r="AE63" s="24" cm="1">
        <f t="array" ref="AE63">_xlfn.IFS(L63=1,0,L63=2,-1,L63=4,-2,L63=0.5,1,L63=0.25,2,L63=0,4)</f>
        <v>0</v>
      </c>
      <c r="AF63" s="24" cm="1">
        <f t="array" ref="AF63">_xlfn.IFS(M63=1,0,M63=2,-1,M63=4,-2,M63=0.5,1,M63=0.25,2,M63=0,4)</f>
        <v>4</v>
      </c>
      <c r="AG63" s="24" cm="1">
        <f t="array" ref="AG63">_xlfn.IFS(N63=1,0,N63=2,-1,N63=4,-2,N63=0.5,1,N63=0.25,2,N63=0,4)</f>
        <v>-1</v>
      </c>
      <c r="AH63" s="24" cm="1">
        <f t="array" ref="AH63">_xlfn.IFS(O63=1,0,O63=2,-1,O63=4,-2,O63=0.5,1,O63=0.25,2,O63=0,4)</f>
        <v>-1</v>
      </c>
      <c r="AI63" s="24" cm="1">
        <f t="array" ref="AI63">_xlfn.IFS(P63=1,0,P63=2,-1,P63=4,-2,P63=0.5,1,P63=0.25,2,P63=0,4)</f>
        <v>-1</v>
      </c>
      <c r="AJ63" s="24" cm="1">
        <f t="array" ref="AJ63">_xlfn.IFS(Q63=1,0,Q63=2,-1,Q63=4,-2,Q63=0.5,1,Q63=0.25,2,Q63=0,4)</f>
        <v>0</v>
      </c>
    </row>
    <row r="64" spans="1:36" x14ac:dyDescent="0.2">
      <c r="A64" s="22" t="s">
        <v>96</v>
      </c>
      <c r="B64" s="22" t="s">
        <v>8</v>
      </c>
      <c r="C64" s="24">
        <f>INDEX(Output!$B$3:$P$17,MATCH('Defensive Summary'!C$1,Output!$A$3:$A$17,0),MATCH('Defensive Summary'!$A64,Output!$B$2:$P$2,0))*INDEX(Output!$B$3:$P$17,MATCH('Defensive Summary'!C$1,Output!$A$3:$A$17,0),MATCH('Defensive Summary'!$B64,Output!$B$2:$P$2,0))</f>
        <v>0.5</v>
      </c>
      <c r="D64" s="24">
        <f>INDEX(Output!$B$3:$P$17,MATCH('Defensive Summary'!D$1,Output!$A$3:$A$17,0),MATCH('Defensive Summary'!$A64,Output!$B$2:$P$2,0))*INDEX(Output!$B$3:$P$17,MATCH('Defensive Summary'!D$1,Output!$A$3:$A$17,0),MATCH('Defensive Summary'!$B64,Output!$B$2:$P$2,0))</f>
        <v>0.5</v>
      </c>
      <c r="E64" s="24">
        <f>INDEX(Output!$B$3:$P$17,MATCH('Defensive Summary'!E$1,Output!$A$3:$A$17,0),MATCH('Defensive Summary'!$A64,Output!$B$2:$P$2,0))*INDEX(Output!$B$3:$P$17,MATCH('Defensive Summary'!E$1,Output!$A$3:$A$17,0),MATCH('Defensive Summary'!$B64,Output!$B$2:$P$2,0))</f>
        <v>1</v>
      </c>
      <c r="F64" s="24">
        <f>INDEX(Output!$B$3:$P$17,MATCH('Defensive Summary'!F$1,Output!$A$3:$A$17,0),MATCH('Defensive Summary'!$A64,Output!$B$2:$P$2,0))*INDEX(Output!$B$3:$P$17,MATCH('Defensive Summary'!F$1,Output!$A$3:$A$17,0),MATCH('Defensive Summary'!$B64,Output!$B$2:$P$2,0))</f>
        <v>1</v>
      </c>
      <c r="G64" s="24">
        <f>INDEX(Output!$B$3:$P$17,MATCH('Defensive Summary'!G$1,Output!$A$3:$A$17,0),MATCH('Defensive Summary'!$A64,Output!$B$2:$P$2,0))*INDEX(Output!$B$3:$P$17,MATCH('Defensive Summary'!G$1,Output!$A$3:$A$17,0),MATCH('Defensive Summary'!$B64,Output!$B$2:$P$2,0))</f>
        <v>2</v>
      </c>
      <c r="H64" s="24">
        <f>INDEX(Output!$B$3:$P$17,MATCH('Defensive Summary'!H$1,Output!$A$3:$A$17,0),MATCH('Defensive Summary'!$A64,Output!$B$2:$P$2,0))*INDEX(Output!$B$3:$P$17,MATCH('Defensive Summary'!H$1,Output!$A$3:$A$17,0),MATCH('Defensive Summary'!$B64,Output!$B$2:$P$2,0))</f>
        <v>1</v>
      </c>
      <c r="I64" s="24">
        <f>INDEX(Output!$B$3:$P$17,MATCH('Defensive Summary'!I$1,Output!$A$3:$A$17,0),MATCH('Defensive Summary'!$A64,Output!$B$2:$P$2,0))*INDEX(Output!$B$3:$P$17,MATCH('Defensive Summary'!I$1,Output!$A$3:$A$17,0),MATCH('Defensive Summary'!$B64,Output!$B$2:$P$2,0))</f>
        <v>0.5</v>
      </c>
      <c r="J64" s="24">
        <f>INDEX(Output!$B$3:$P$17,MATCH('Defensive Summary'!J$1,Output!$A$3:$A$17,0),MATCH('Defensive Summary'!$A64,Output!$B$2:$P$2,0))*INDEX(Output!$B$3:$P$17,MATCH('Defensive Summary'!J$1,Output!$A$3:$A$17,0),MATCH('Defensive Summary'!$B64,Output!$B$2:$P$2,0))</f>
        <v>0</v>
      </c>
      <c r="K64" s="24">
        <f>INDEX(Output!$B$3:$P$17,MATCH('Defensive Summary'!K$1,Output!$A$3:$A$17,0),MATCH('Defensive Summary'!$A64,Output!$B$2:$P$2,0))*INDEX(Output!$B$3:$P$17,MATCH('Defensive Summary'!K$1,Output!$A$3:$A$17,0),MATCH('Defensive Summary'!$B64,Output!$B$2:$P$2,0))</f>
        <v>0.5</v>
      </c>
      <c r="L64" s="24">
        <f>INDEX(Output!$B$3:$P$17,MATCH('Defensive Summary'!L$1,Output!$A$3:$A$17,0),MATCH('Defensive Summary'!$A64,Output!$B$2:$P$2,0))*INDEX(Output!$B$3:$P$17,MATCH('Defensive Summary'!L$1,Output!$A$3:$A$17,0),MATCH('Defensive Summary'!$B64,Output!$B$2:$P$2,0))</f>
        <v>4</v>
      </c>
      <c r="M64" s="24">
        <f>INDEX(Output!$B$3:$P$17,MATCH('Defensive Summary'!M$1,Output!$A$3:$A$17,0),MATCH('Defensive Summary'!$A64,Output!$B$2:$P$2,0))*INDEX(Output!$B$3:$P$17,MATCH('Defensive Summary'!M$1,Output!$A$3:$A$17,0),MATCH('Defensive Summary'!$B64,Output!$B$2:$P$2,0))</f>
        <v>0.25</v>
      </c>
      <c r="N64" s="24">
        <f>INDEX(Output!$B$3:$P$17,MATCH('Defensive Summary'!N$1,Output!$A$3:$A$17,0),MATCH('Defensive Summary'!$A64,Output!$B$2:$P$2,0))*INDEX(Output!$B$3:$P$17,MATCH('Defensive Summary'!N$1,Output!$A$3:$A$17,0),MATCH('Defensive Summary'!$B64,Output!$B$2:$P$2,0))</f>
        <v>1</v>
      </c>
      <c r="O64" s="24">
        <f>INDEX(Output!$B$3:$P$17,MATCH('Defensive Summary'!O$1,Output!$A$3:$A$17,0),MATCH('Defensive Summary'!$A64,Output!$B$2:$P$2,0))*INDEX(Output!$B$3:$P$17,MATCH('Defensive Summary'!O$1,Output!$A$3:$A$17,0),MATCH('Defensive Summary'!$B64,Output!$B$2:$P$2,0))</f>
        <v>1</v>
      </c>
      <c r="P64" s="24">
        <f>INDEX(Output!$B$3:$P$17,MATCH('Defensive Summary'!P$1,Output!$A$3:$A$17,0),MATCH('Defensive Summary'!$A64,Output!$B$2:$P$2,0))*INDEX(Output!$B$3:$P$17,MATCH('Defensive Summary'!P$1,Output!$A$3:$A$17,0),MATCH('Defensive Summary'!$B64,Output!$B$2:$P$2,0))</f>
        <v>0.5</v>
      </c>
      <c r="Q64" s="24">
        <f>INDEX(Output!$B$3:$P$17,MATCH('Defensive Summary'!Q$1,Output!$A$3:$A$17,0),MATCH('Defensive Summary'!$A64,Output!$B$2:$P$2,0))*INDEX(Output!$B$3:$P$17,MATCH('Defensive Summary'!Q$1,Output!$A$3:$A$17,0),MATCH('Defensive Summary'!$B64,Output!$B$2:$P$2,0))</f>
        <v>1</v>
      </c>
      <c r="R64" s="24"/>
      <c r="S64" s="25">
        <f t="shared" si="0"/>
        <v>8</v>
      </c>
      <c r="T64" s="22" t="s">
        <v>96</v>
      </c>
      <c r="U64" s="22" t="s">
        <v>8</v>
      </c>
      <c r="V64" s="24" cm="1">
        <f t="array" ref="V64">_xlfn.IFS(C64=1,0,C64=2,-1,C64=4,-2,C64=0.5,1,C64=0.25,2,C64=0,4)</f>
        <v>1</v>
      </c>
      <c r="W64" s="24" cm="1">
        <f t="array" ref="W64">_xlfn.IFS(D64=1,0,D64=2,-1,D64=4,-2,D64=0.5,1,D64=0.25,2,D64=0,4)</f>
        <v>1</v>
      </c>
      <c r="X64" s="24" cm="1">
        <f t="array" ref="X64">_xlfn.IFS(E64=1,0,E64=2,-1,E64=4,-2,E64=0.5,1,E64=0.25,2,E64=0,4)</f>
        <v>0</v>
      </c>
      <c r="Y64" s="24" cm="1">
        <f t="array" ref="Y64">_xlfn.IFS(F64=1,0,F64=2,-1,F64=4,-2,F64=0.5,1,F64=0.25,2,F64=0,4)</f>
        <v>0</v>
      </c>
      <c r="Z64" s="24" cm="1">
        <f t="array" ref="Z64">_xlfn.IFS(G64=1,0,G64=2,-1,G64=4,-2,G64=0.5,1,G64=0.25,2,G64=0,4)</f>
        <v>-1</v>
      </c>
      <c r="AA64" s="24" cm="1">
        <f t="array" ref="AA64">_xlfn.IFS(H64=1,0,H64=2,-1,H64=4,-2,H64=0.5,1,H64=0.25,2,H64=0,4)</f>
        <v>0</v>
      </c>
      <c r="AB64" s="24" cm="1">
        <f t="array" ref="AB64">_xlfn.IFS(I64=1,0,I64=2,-1,I64=4,-2,I64=0.5,1,I64=0.25,2,I64=0,4)</f>
        <v>1</v>
      </c>
      <c r="AC64" s="24" cm="1">
        <f t="array" ref="AC64">_xlfn.IFS(J64=1,0,J64=2,-1,J64=4,-2,J64=0.5,1,J64=0.25,2,J64=0,4)</f>
        <v>4</v>
      </c>
      <c r="AD64" s="24" cm="1">
        <f t="array" ref="AD64">_xlfn.IFS(K64=1,0,K64=2,-1,K64=4,-2,K64=0.5,1,K64=0.25,2,K64=0,4)</f>
        <v>1</v>
      </c>
      <c r="AE64" s="24" cm="1">
        <f t="array" ref="AE64">_xlfn.IFS(L64=1,0,L64=2,-1,L64=4,-2,L64=0.5,1,L64=0.25,2,L64=0,4)</f>
        <v>-2</v>
      </c>
      <c r="AF64" s="24" cm="1">
        <f t="array" ref="AF64">_xlfn.IFS(M64=1,0,M64=2,-1,M64=4,-2,M64=0.5,1,M64=0.25,2,M64=0,4)</f>
        <v>2</v>
      </c>
      <c r="AG64" s="24" cm="1">
        <f t="array" ref="AG64">_xlfn.IFS(N64=1,0,N64=2,-1,N64=4,-2,N64=0.5,1,N64=0.25,2,N64=0,4)</f>
        <v>0</v>
      </c>
      <c r="AH64" s="24" cm="1">
        <f t="array" ref="AH64">_xlfn.IFS(O64=1,0,O64=2,-1,O64=4,-2,O64=0.5,1,O64=0.25,2,O64=0,4)</f>
        <v>0</v>
      </c>
      <c r="AI64" s="24" cm="1">
        <f t="array" ref="AI64">_xlfn.IFS(P64=1,0,P64=2,-1,P64=4,-2,P64=0.5,1,P64=0.25,2,P64=0,4)</f>
        <v>1</v>
      </c>
      <c r="AJ64" s="24" cm="1">
        <f t="array" ref="AJ64">_xlfn.IFS(Q64=1,0,Q64=2,-1,Q64=4,-2,Q64=0.5,1,Q64=0.25,2,Q64=0,4)</f>
        <v>0</v>
      </c>
    </row>
    <row r="65" spans="1:36" x14ac:dyDescent="0.2">
      <c r="A65" s="22" t="s">
        <v>96</v>
      </c>
      <c r="B65" s="22" t="s">
        <v>9</v>
      </c>
      <c r="C65" s="24">
        <f>INDEX(Output!$B$3:$P$17,MATCH('Defensive Summary'!C$1,Output!$A$3:$A$17,0),MATCH('Defensive Summary'!$A65,Output!$B$2:$P$2,0))*INDEX(Output!$B$3:$P$17,MATCH('Defensive Summary'!C$1,Output!$A$3:$A$17,0),MATCH('Defensive Summary'!$B65,Output!$B$2:$P$2,0))</f>
        <v>1</v>
      </c>
      <c r="D65" s="24">
        <f>INDEX(Output!$B$3:$P$17,MATCH('Defensive Summary'!D$1,Output!$A$3:$A$17,0),MATCH('Defensive Summary'!$A65,Output!$B$2:$P$2,0))*INDEX(Output!$B$3:$P$17,MATCH('Defensive Summary'!D$1,Output!$A$3:$A$17,0),MATCH('Defensive Summary'!$B65,Output!$B$2:$P$2,0))</f>
        <v>1</v>
      </c>
      <c r="E65" s="24">
        <f>INDEX(Output!$B$3:$P$17,MATCH('Defensive Summary'!E$1,Output!$A$3:$A$17,0),MATCH('Defensive Summary'!$A65,Output!$B$2:$P$2,0))*INDEX(Output!$B$3:$P$17,MATCH('Defensive Summary'!E$1,Output!$A$3:$A$17,0),MATCH('Defensive Summary'!$B65,Output!$B$2:$P$2,0))</f>
        <v>1</v>
      </c>
      <c r="F65" s="24">
        <f>INDEX(Output!$B$3:$P$17,MATCH('Defensive Summary'!F$1,Output!$A$3:$A$17,0),MATCH('Defensive Summary'!$A65,Output!$B$2:$P$2,0))*INDEX(Output!$B$3:$P$17,MATCH('Defensive Summary'!F$1,Output!$A$3:$A$17,0),MATCH('Defensive Summary'!$B65,Output!$B$2:$P$2,0))</f>
        <v>2</v>
      </c>
      <c r="G65" s="24">
        <f>INDEX(Output!$B$3:$P$17,MATCH('Defensive Summary'!G$1,Output!$A$3:$A$17,0),MATCH('Defensive Summary'!$A65,Output!$B$2:$P$2,0))*INDEX(Output!$B$3:$P$17,MATCH('Defensive Summary'!G$1,Output!$A$3:$A$17,0),MATCH('Defensive Summary'!$B65,Output!$B$2:$P$2,0))</f>
        <v>1</v>
      </c>
      <c r="H65" s="24">
        <f>INDEX(Output!$B$3:$P$17,MATCH('Defensive Summary'!H$1,Output!$A$3:$A$17,0),MATCH('Defensive Summary'!$A65,Output!$B$2:$P$2,0))*INDEX(Output!$B$3:$P$17,MATCH('Defensive Summary'!H$1,Output!$A$3:$A$17,0),MATCH('Defensive Summary'!$B65,Output!$B$2:$P$2,0))</f>
        <v>0.5</v>
      </c>
      <c r="I65" s="24">
        <f>INDEX(Output!$B$3:$P$17,MATCH('Defensive Summary'!I$1,Output!$A$3:$A$17,0),MATCH('Defensive Summary'!$A65,Output!$B$2:$P$2,0))*INDEX(Output!$B$3:$P$17,MATCH('Defensive Summary'!I$1,Output!$A$3:$A$17,0),MATCH('Defensive Summary'!$B65,Output!$B$2:$P$2,0))</f>
        <v>0.5</v>
      </c>
      <c r="J65" s="24">
        <f>INDEX(Output!$B$3:$P$17,MATCH('Defensive Summary'!J$1,Output!$A$3:$A$17,0),MATCH('Defensive Summary'!$A65,Output!$B$2:$P$2,0))*INDEX(Output!$B$3:$P$17,MATCH('Defensive Summary'!J$1,Output!$A$3:$A$17,0),MATCH('Defensive Summary'!$B65,Output!$B$2:$P$2,0))</f>
        <v>1</v>
      </c>
      <c r="K65" s="24">
        <f>INDEX(Output!$B$3:$P$17,MATCH('Defensive Summary'!K$1,Output!$A$3:$A$17,0),MATCH('Defensive Summary'!$A65,Output!$B$2:$P$2,0))*INDEX(Output!$B$3:$P$17,MATCH('Defensive Summary'!K$1,Output!$A$3:$A$17,0),MATCH('Defensive Summary'!$B65,Output!$B$2:$P$2,0))</f>
        <v>0</v>
      </c>
      <c r="L65" s="24">
        <f>INDEX(Output!$B$3:$P$17,MATCH('Defensive Summary'!L$1,Output!$A$3:$A$17,0),MATCH('Defensive Summary'!$A65,Output!$B$2:$P$2,0))*INDEX(Output!$B$3:$P$17,MATCH('Defensive Summary'!L$1,Output!$A$3:$A$17,0),MATCH('Defensive Summary'!$B65,Output!$B$2:$P$2,0))</f>
        <v>2</v>
      </c>
      <c r="M65" s="24">
        <f>INDEX(Output!$B$3:$P$17,MATCH('Defensive Summary'!M$1,Output!$A$3:$A$17,0),MATCH('Defensive Summary'!$A65,Output!$B$2:$P$2,0))*INDEX(Output!$B$3:$P$17,MATCH('Defensive Summary'!M$1,Output!$A$3:$A$17,0),MATCH('Defensive Summary'!$B65,Output!$B$2:$P$2,0))</f>
        <v>1</v>
      </c>
      <c r="N65" s="24">
        <f>INDEX(Output!$B$3:$P$17,MATCH('Defensive Summary'!N$1,Output!$A$3:$A$17,0),MATCH('Defensive Summary'!$A65,Output!$B$2:$P$2,0))*INDEX(Output!$B$3:$P$17,MATCH('Defensive Summary'!N$1,Output!$A$3:$A$17,0),MATCH('Defensive Summary'!$B65,Output!$B$2:$P$2,0))</f>
        <v>1</v>
      </c>
      <c r="O65" s="24">
        <f>INDEX(Output!$B$3:$P$17,MATCH('Defensive Summary'!O$1,Output!$A$3:$A$17,0),MATCH('Defensive Summary'!$A65,Output!$B$2:$P$2,0))*INDEX(Output!$B$3:$P$17,MATCH('Defensive Summary'!O$1,Output!$A$3:$A$17,0),MATCH('Defensive Summary'!$B65,Output!$B$2:$P$2,0))</f>
        <v>0.5</v>
      </c>
      <c r="P65" s="24">
        <f>INDEX(Output!$B$3:$P$17,MATCH('Defensive Summary'!P$1,Output!$A$3:$A$17,0),MATCH('Defensive Summary'!$A65,Output!$B$2:$P$2,0))*INDEX(Output!$B$3:$P$17,MATCH('Defensive Summary'!P$1,Output!$A$3:$A$17,0),MATCH('Defensive Summary'!$B65,Output!$B$2:$P$2,0))</f>
        <v>2</v>
      </c>
      <c r="Q65" s="24">
        <f>INDEX(Output!$B$3:$P$17,MATCH('Defensive Summary'!Q$1,Output!$A$3:$A$17,0),MATCH('Defensive Summary'!$A65,Output!$B$2:$P$2,0))*INDEX(Output!$B$3:$P$17,MATCH('Defensive Summary'!Q$1,Output!$A$3:$A$17,0),MATCH('Defensive Summary'!$B65,Output!$B$2:$P$2,0))</f>
        <v>1</v>
      </c>
      <c r="R65" s="24"/>
      <c r="S65" s="25">
        <f t="shared" si="0"/>
        <v>4</v>
      </c>
      <c r="T65" s="22" t="s">
        <v>96</v>
      </c>
      <c r="U65" s="22" t="s">
        <v>9</v>
      </c>
      <c r="V65" s="24" cm="1">
        <f t="array" ref="V65">_xlfn.IFS(C65=1,0,C65=2,-1,C65=4,-2,C65=0.5,1,C65=0.25,2,C65=0,4)</f>
        <v>0</v>
      </c>
      <c r="W65" s="24" cm="1">
        <f t="array" ref="W65">_xlfn.IFS(D65=1,0,D65=2,-1,D65=4,-2,D65=0.5,1,D65=0.25,2,D65=0,4)</f>
        <v>0</v>
      </c>
      <c r="X65" s="24" cm="1">
        <f t="array" ref="X65">_xlfn.IFS(E65=1,0,E65=2,-1,E65=4,-2,E65=0.5,1,E65=0.25,2,E65=0,4)</f>
        <v>0</v>
      </c>
      <c r="Y65" s="24" cm="1">
        <f t="array" ref="Y65">_xlfn.IFS(F65=1,0,F65=2,-1,F65=4,-2,F65=0.5,1,F65=0.25,2,F65=0,4)</f>
        <v>-1</v>
      </c>
      <c r="Z65" s="24" cm="1">
        <f t="array" ref="Z65">_xlfn.IFS(G65=1,0,G65=2,-1,G65=4,-2,G65=0.5,1,G65=0.25,2,G65=0,4)</f>
        <v>0</v>
      </c>
      <c r="AA65" s="24" cm="1">
        <f t="array" ref="AA65">_xlfn.IFS(H65=1,0,H65=2,-1,H65=4,-2,H65=0.5,1,H65=0.25,2,H65=0,4)</f>
        <v>1</v>
      </c>
      <c r="AB65" s="24" cm="1">
        <f t="array" ref="AB65">_xlfn.IFS(I65=1,0,I65=2,-1,I65=4,-2,I65=0.5,1,I65=0.25,2,I65=0,4)</f>
        <v>1</v>
      </c>
      <c r="AC65" s="24" cm="1">
        <f t="array" ref="AC65">_xlfn.IFS(J65=1,0,J65=2,-1,J65=4,-2,J65=0.5,1,J65=0.25,2,J65=0,4)</f>
        <v>0</v>
      </c>
      <c r="AD65" s="24" cm="1">
        <f t="array" ref="AD65">_xlfn.IFS(K65=1,0,K65=2,-1,K65=4,-2,K65=0.5,1,K65=0.25,2,K65=0,4)</f>
        <v>4</v>
      </c>
      <c r="AE65" s="24" cm="1">
        <f t="array" ref="AE65">_xlfn.IFS(L65=1,0,L65=2,-1,L65=4,-2,L65=0.5,1,L65=0.25,2,L65=0,4)</f>
        <v>-1</v>
      </c>
      <c r="AF65" s="24" cm="1">
        <f t="array" ref="AF65">_xlfn.IFS(M65=1,0,M65=2,-1,M65=4,-2,M65=0.5,1,M65=0.25,2,M65=0,4)</f>
        <v>0</v>
      </c>
      <c r="AG65" s="24" cm="1">
        <f t="array" ref="AG65">_xlfn.IFS(N65=1,0,N65=2,-1,N65=4,-2,N65=0.5,1,N65=0.25,2,N65=0,4)</f>
        <v>0</v>
      </c>
      <c r="AH65" s="24" cm="1">
        <f t="array" ref="AH65">_xlfn.IFS(O65=1,0,O65=2,-1,O65=4,-2,O65=0.5,1,O65=0.25,2,O65=0,4)</f>
        <v>1</v>
      </c>
      <c r="AI65" s="24" cm="1">
        <f t="array" ref="AI65">_xlfn.IFS(P65=1,0,P65=2,-1,P65=4,-2,P65=0.5,1,P65=0.25,2,P65=0,4)</f>
        <v>-1</v>
      </c>
      <c r="AJ65" s="24" cm="1">
        <f t="array" ref="AJ65">_xlfn.IFS(Q65=1,0,Q65=2,-1,Q65=4,-2,Q65=0.5,1,Q65=0.25,2,Q65=0,4)</f>
        <v>0</v>
      </c>
    </row>
    <row r="66" spans="1:36" x14ac:dyDescent="0.2">
      <c r="A66" s="22" t="s">
        <v>96</v>
      </c>
      <c r="B66" s="22" t="s">
        <v>10</v>
      </c>
      <c r="C66" s="24">
        <f>INDEX(Output!$B$3:$P$17,MATCH('Defensive Summary'!C$1,Output!$A$3:$A$17,0),MATCH('Defensive Summary'!$A66,Output!$B$2:$P$2,0))*INDEX(Output!$B$3:$P$17,MATCH('Defensive Summary'!C$1,Output!$A$3:$A$17,0),MATCH('Defensive Summary'!$B66,Output!$B$2:$P$2,0))</f>
        <v>2</v>
      </c>
      <c r="D66" s="24">
        <f>INDEX(Output!$B$3:$P$17,MATCH('Defensive Summary'!D$1,Output!$A$3:$A$17,0),MATCH('Defensive Summary'!$A66,Output!$B$2:$P$2,0))*INDEX(Output!$B$3:$P$17,MATCH('Defensive Summary'!D$1,Output!$A$3:$A$17,0),MATCH('Defensive Summary'!$B66,Output!$B$2:$P$2,0))</f>
        <v>1</v>
      </c>
      <c r="E66" s="24">
        <f>INDEX(Output!$B$3:$P$17,MATCH('Defensive Summary'!E$1,Output!$A$3:$A$17,0),MATCH('Defensive Summary'!$A66,Output!$B$2:$P$2,0))*INDEX(Output!$B$3:$P$17,MATCH('Defensive Summary'!E$1,Output!$A$3:$A$17,0),MATCH('Defensive Summary'!$B66,Output!$B$2:$P$2,0))</f>
        <v>0.5</v>
      </c>
      <c r="F66" s="24">
        <f>INDEX(Output!$B$3:$P$17,MATCH('Defensive Summary'!F$1,Output!$A$3:$A$17,0),MATCH('Defensive Summary'!$A66,Output!$B$2:$P$2,0))*INDEX(Output!$B$3:$P$17,MATCH('Defensive Summary'!F$1,Output!$A$3:$A$17,0),MATCH('Defensive Summary'!$B66,Output!$B$2:$P$2,0))</f>
        <v>2</v>
      </c>
      <c r="G66" s="24">
        <f>INDEX(Output!$B$3:$P$17,MATCH('Defensive Summary'!G$1,Output!$A$3:$A$17,0),MATCH('Defensive Summary'!$A66,Output!$B$2:$P$2,0))*INDEX(Output!$B$3:$P$17,MATCH('Defensive Summary'!G$1,Output!$A$3:$A$17,0),MATCH('Defensive Summary'!$B66,Output!$B$2:$P$2,0))</f>
        <v>2</v>
      </c>
      <c r="H66" s="24">
        <f>INDEX(Output!$B$3:$P$17,MATCH('Defensive Summary'!H$1,Output!$A$3:$A$17,0),MATCH('Defensive Summary'!$A66,Output!$B$2:$P$2,0))*INDEX(Output!$B$3:$P$17,MATCH('Defensive Summary'!H$1,Output!$A$3:$A$17,0),MATCH('Defensive Summary'!$B66,Output!$B$2:$P$2,0))</f>
        <v>1</v>
      </c>
      <c r="I66" s="24">
        <f>INDEX(Output!$B$3:$P$17,MATCH('Defensive Summary'!I$1,Output!$A$3:$A$17,0),MATCH('Defensive Summary'!$A66,Output!$B$2:$P$2,0))*INDEX(Output!$B$3:$P$17,MATCH('Defensive Summary'!I$1,Output!$A$3:$A$17,0),MATCH('Defensive Summary'!$B66,Output!$B$2:$P$2,0))</f>
        <v>0.25</v>
      </c>
      <c r="J66" s="24">
        <f>INDEX(Output!$B$3:$P$17,MATCH('Defensive Summary'!J$1,Output!$A$3:$A$17,0),MATCH('Defensive Summary'!$A66,Output!$B$2:$P$2,0))*INDEX(Output!$B$3:$P$17,MATCH('Defensive Summary'!J$1,Output!$A$3:$A$17,0),MATCH('Defensive Summary'!$B66,Output!$B$2:$P$2,0))</f>
        <v>4</v>
      </c>
      <c r="K66" s="24">
        <f>INDEX(Output!$B$3:$P$17,MATCH('Defensive Summary'!K$1,Output!$A$3:$A$17,0),MATCH('Defensive Summary'!$A66,Output!$B$2:$P$2,0))*INDEX(Output!$B$3:$P$17,MATCH('Defensive Summary'!K$1,Output!$A$3:$A$17,0),MATCH('Defensive Summary'!$B66,Output!$B$2:$P$2,0))</f>
        <v>0.25</v>
      </c>
      <c r="L66" s="24">
        <f>INDEX(Output!$B$3:$P$17,MATCH('Defensive Summary'!L$1,Output!$A$3:$A$17,0),MATCH('Defensive Summary'!$A66,Output!$B$2:$P$2,0))*INDEX(Output!$B$3:$P$17,MATCH('Defensive Summary'!L$1,Output!$A$3:$A$17,0),MATCH('Defensive Summary'!$B66,Output!$B$2:$P$2,0))</f>
        <v>0</v>
      </c>
      <c r="M66" s="24">
        <f>INDEX(Output!$B$3:$P$17,MATCH('Defensive Summary'!M$1,Output!$A$3:$A$17,0),MATCH('Defensive Summary'!$A66,Output!$B$2:$P$2,0))*INDEX(Output!$B$3:$P$17,MATCH('Defensive Summary'!M$1,Output!$A$3:$A$17,0),MATCH('Defensive Summary'!$B66,Output!$B$2:$P$2,0))</f>
        <v>0.5</v>
      </c>
      <c r="N66" s="24">
        <f>INDEX(Output!$B$3:$P$17,MATCH('Defensive Summary'!N$1,Output!$A$3:$A$17,0),MATCH('Defensive Summary'!$A66,Output!$B$2:$P$2,0))*INDEX(Output!$B$3:$P$17,MATCH('Defensive Summary'!N$1,Output!$A$3:$A$17,0),MATCH('Defensive Summary'!$B66,Output!$B$2:$P$2,0))</f>
        <v>0.5</v>
      </c>
      <c r="O66" s="24">
        <f>INDEX(Output!$B$3:$P$17,MATCH('Defensive Summary'!O$1,Output!$A$3:$A$17,0),MATCH('Defensive Summary'!$A66,Output!$B$2:$P$2,0))*INDEX(Output!$B$3:$P$17,MATCH('Defensive Summary'!O$1,Output!$A$3:$A$17,0),MATCH('Defensive Summary'!$B66,Output!$B$2:$P$2,0))</f>
        <v>0.5</v>
      </c>
      <c r="P66" s="24">
        <f>INDEX(Output!$B$3:$P$17,MATCH('Defensive Summary'!P$1,Output!$A$3:$A$17,0),MATCH('Defensive Summary'!$A66,Output!$B$2:$P$2,0))*INDEX(Output!$B$3:$P$17,MATCH('Defensive Summary'!P$1,Output!$A$3:$A$17,0),MATCH('Defensive Summary'!$B66,Output!$B$2:$P$2,0))</f>
        <v>1</v>
      </c>
      <c r="Q66" s="24">
        <f>INDEX(Output!$B$3:$P$17,MATCH('Defensive Summary'!Q$1,Output!$A$3:$A$17,0),MATCH('Defensive Summary'!$A66,Output!$B$2:$P$2,0))*INDEX(Output!$B$3:$P$17,MATCH('Defensive Summary'!Q$1,Output!$A$3:$A$17,0),MATCH('Defensive Summary'!$B66,Output!$B$2:$P$2,0))</f>
        <v>1</v>
      </c>
      <c r="R66" s="24"/>
      <c r="S66" s="25">
        <f t="shared" si="0"/>
        <v>7</v>
      </c>
      <c r="T66" s="22" t="s">
        <v>96</v>
      </c>
      <c r="U66" s="22" t="s">
        <v>10</v>
      </c>
      <c r="V66" s="24" cm="1">
        <f t="array" ref="V66">_xlfn.IFS(C66=1,0,C66=2,-1,C66=4,-2,C66=0.5,1,C66=0.25,2,C66=0,4)</f>
        <v>-1</v>
      </c>
      <c r="W66" s="24" cm="1">
        <f t="array" ref="W66">_xlfn.IFS(D66=1,0,D66=2,-1,D66=4,-2,D66=0.5,1,D66=0.25,2,D66=0,4)</f>
        <v>0</v>
      </c>
      <c r="X66" s="24" cm="1">
        <f t="array" ref="X66">_xlfn.IFS(E66=1,0,E66=2,-1,E66=4,-2,E66=0.5,1,E66=0.25,2,E66=0,4)</f>
        <v>1</v>
      </c>
      <c r="Y66" s="24" cm="1">
        <f t="array" ref="Y66">_xlfn.IFS(F66=1,0,F66=2,-1,F66=4,-2,F66=0.5,1,F66=0.25,2,F66=0,4)</f>
        <v>-1</v>
      </c>
      <c r="Z66" s="24" cm="1">
        <f t="array" ref="Z66">_xlfn.IFS(G66=1,0,G66=2,-1,G66=4,-2,G66=0.5,1,G66=0.25,2,G66=0,4)</f>
        <v>-1</v>
      </c>
      <c r="AA66" s="24" cm="1">
        <f t="array" ref="AA66">_xlfn.IFS(H66=1,0,H66=2,-1,H66=4,-2,H66=0.5,1,H66=0.25,2,H66=0,4)</f>
        <v>0</v>
      </c>
      <c r="AB66" s="24" cm="1">
        <f t="array" ref="AB66">_xlfn.IFS(I66=1,0,I66=2,-1,I66=4,-2,I66=0.5,1,I66=0.25,2,I66=0,4)</f>
        <v>2</v>
      </c>
      <c r="AC66" s="24" cm="1">
        <f t="array" ref="AC66">_xlfn.IFS(J66=1,0,J66=2,-1,J66=4,-2,J66=0.5,1,J66=0.25,2,J66=0,4)</f>
        <v>-2</v>
      </c>
      <c r="AD66" s="24" cm="1">
        <f t="array" ref="AD66">_xlfn.IFS(K66=1,0,K66=2,-1,K66=4,-2,K66=0.5,1,K66=0.25,2,K66=0,4)</f>
        <v>2</v>
      </c>
      <c r="AE66" s="24" cm="1">
        <f t="array" ref="AE66">_xlfn.IFS(L66=1,0,L66=2,-1,L66=4,-2,L66=0.5,1,L66=0.25,2,L66=0,4)</f>
        <v>4</v>
      </c>
      <c r="AF66" s="24" cm="1">
        <f t="array" ref="AF66">_xlfn.IFS(M66=1,0,M66=2,-1,M66=4,-2,M66=0.5,1,M66=0.25,2,M66=0,4)</f>
        <v>1</v>
      </c>
      <c r="AG66" s="24" cm="1">
        <f t="array" ref="AG66">_xlfn.IFS(N66=1,0,N66=2,-1,N66=4,-2,N66=0.5,1,N66=0.25,2,N66=0,4)</f>
        <v>1</v>
      </c>
      <c r="AH66" s="24" cm="1">
        <f t="array" ref="AH66">_xlfn.IFS(O66=1,0,O66=2,-1,O66=4,-2,O66=0.5,1,O66=0.25,2,O66=0,4)</f>
        <v>1</v>
      </c>
      <c r="AI66" s="24" cm="1">
        <f t="array" ref="AI66">_xlfn.IFS(P66=1,0,P66=2,-1,P66=4,-2,P66=0.5,1,P66=0.25,2,P66=0,4)</f>
        <v>0</v>
      </c>
      <c r="AJ66" s="24" cm="1">
        <f t="array" ref="AJ66">_xlfn.IFS(Q66=1,0,Q66=2,-1,Q66=4,-2,Q66=0.5,1,Q66=0.25,2,Q66=0,4)</f>
        <v>0</v>
      </c>
    </row>
    <row r="67" spans="1:36" x14ac:dyDescent="0.2">
      <c r="A67" s="22" t="s">
        <v>96</v>
      </c>
      <c r="B67" s="22" t="s">
        <v>11</v>
      </c>
      <c r="C67" s="24">
        <f>INDEX(Output!$B$3:$P$17,MATCH('Defensive Summary'!C$1,Output!$A$3:$A$17,0),MATCH('Defensive Summary'!$A67,Output!$B$2:$P$2,0))*INDEX(Output!$B$3:$P$17,MATCH('Defensive Summary'!C$1,Output!$A$3:$A$17,0),MATCH('Defensive Summary'!$B67,Output!$B$2:$P$2,0))</f>
        <v>1</v>
      </c>
      <c r="D67" s="24">
        <f>INDEX(Output!$B$3:$P$17,MATCH('Defensive Summary'!D$1,Output!$A$3:$A$17,0),MATCH('Defensive Summary'!$A67,Output!$B$2:$P$2,0))*INDEX(Output!$B$3:$P$17,MATCH('Defensive Summary'!D$1,Output!$A$3:$A$17,0),MATCH('Defensive Summary'!$B67,Output!$B$2:$P$2,0))</f>
        <v>1</v>
      </c>
      <c r="E67" s="24">
        <f>INDEX(Output!$B$3:$P$17,MATCH('Defensive Summary'!E$1,Output!$A$3:$A$17,0),MATCH('Defensive Summary'!$A67,Output!$B$2:$P$2,0))*INDEX(Output!$B$3:$P$17,MATCH('Defensive Summary'!E$1,Output!$A$3:$A$17,0),MATCH('Defensive Summary'!$B67,Output!$B$2:$P$2,0))</f>
        <v>1</v>
      </c>
      <c r="F67" s="24">
        <f>INDEX(Output!$B$3:$P$17,MATCH('Defensive Summary'!F$1,Output!$A$3:$A$17,0),MATCH('Defensive Summary'!$A67,Output!$B$2:$P$2,0))*INDEX(Output!$B$3:$P$17,MATCH('Defensive Summary'!F$1,Output!$A$3:$A$17,0),MATCH('Defensive Summary'!$B67,Output!$B$2:$P$2,0))</f>
        <v>2</v>
      </c>
      <c r="G67" s="24">
        <f>INDEX(Output!$B$3:$P$17,MATCH('Defensive Summary'!G$1,Output!$A$3:$A$17,0),MATCH('Defensive Summary'!$A67,Output!$B$2:$P$2,0))*INDEX(Output!$B$3:$P$17,MATCH('Defensive Summary'!G$1,Output!$A$3:$A$17,0),MATCH('Defensive Summary'!$B67,Output!$B$2:$P$2,0))</f>
        <v>1</v>
      </c>
      <c r="H67" s="24">
        <f>INDEX(Output!$B$3:$P$17,MATCH('Defensive Summary'!H$1,Output!$A$3:$A$17,0),MATCH('Defensive Summary'!$A67,Output!$B$2:$P$2,0))*INDEX(Output!$B$3:$P$17,MATCH('Defensive Summary'!H$1,Output!$A$3:$A$17,0),MATCH('Defensive Summary'!$B67,Output!$B$2:$P$2,0))</f>
        <v>0.5</v>
      </c>
      <c r="I67" s="24">
        <f>INDEX(Output!$B$3:$P$17,MATCH('Defensive Summary'!I$1,Output!$A$3:$A$17,0),MATCH('Defensive Summary'!$A67,Output!$B$2:$P$2,0))*INDEX(Output!$B$3:$P$17,MATCH('Defensive Summary'!I$1,Output!$A$3:$A$17,0),MATCH('Defensive Summary'!$B67,Output!$B$2:$P$2,0))</f>
        <v>0.25</v>
      </c>
      <c r="J67" s="24">
        <f>INDEX(Output!$B$3:$P$17,MATCH('Defensive Summary'!J$1,Output!$A$3:$A$17,0),MATCH('Defensive Summary'!$A67,Output!$B$2:$P$2,0))*INDEX(Output!$B$3:$P$17,MATCH('Defensive Summary'!J$1,Output!$A$3:$A$17,0),MATCH('Defensive Summary'!$B67,Output!$B$2:$P$2,0))</f>
        <v>2</v>
      </c>
      <c r="K67" s="24">
        <f>INDEX(Output!$B$3:$P$17,MATCH('Defensive Summary'!K$1,Output!$A$3:$A$17,0),MATCH('Defensive Summary'!$A67,Output!$B$2:$P$2,0))*INDEX(Output!$B$3:$P$17,MATCH('Defensive Summary'!K$1,Output!$A$3:$A$17,0),MATCH('Defensive Summary'!$B67,Output!$B$2:$P$2,0))</f>
        <v>0.5</v>
      </c>
      <c r="L67" s="24">
        <f>INDEX(Output!$B$3:$P$17,MATCH('Defensive Summary'!L$1,Output!$A$3:$A$17,0),MATCH('Defensive Summary'!$A67,Output!$B$2:$P$2,0))*INDEX(Output!$B$3:$P$17,MATCH('Defensive Summary'!L$1,Output!$A$3:$A$17,0),MATCH('Defensive Summary'!$B67,Output!$B$2:$P$2,0))</f>
        <v>2</v>
      </c>
      <c r="M67" s="24">
        <f>INDEX(Output!$B$3:$P$17,MATCH('Defensive Summary'!M$1,Output!$A$3:$A$17,0),MATCH('Defensive Summary'!$A67,Output!$B$2:$P$2,0))*INDEX(Output!$B$3:$P$17,MATCH('Defensive Summary'!M$1,Output!$A$3:$A$17,0),MATCH('Defensive Summary'!$B67,Output!$B$2:$P$2,0))</f>
        <v>0.5</v>
      </c>
      <c r="N67" s="24">
        <f>INDEX(Output!$B$3:$P$17,MATCH('Defensive Summary'!N$1,Output!$A$3:$A$17,0),MATCH('Defensive Summary'!$A67,Output!$B$2:$P$2,0))*INDEX(Output!$B$3:$P$17,MATCH('Defensive Summary'!N$1,Output!$A$3:$A$17,0),MATCH('Defensive Summary'!$B67,Output!$B$2:$P$2,0))</f>
        <v>0.5</v>
      </c>
      <c r="O67" s="24">
        <f>INDEX(Output!$B$3:$P$17,MATCH('Defensive Summary'!O$1,Output!$A$3:$A$17,0),MATCH('Defensive Summary'!$A67,Output!$B$2:$P$2,0))*INDEX(Output!$B$3:$P$17,MATCH('Defensive Summary'!O$1,Output!$A$3:$A$17,0),MATCH('Defensive Summary'!$B67,Output!$B$2:$P$2,0))</f>
        <v>2</v>
      </c>
      <c r="P67" s="24">
        <f>INDEX(Output!$B$3:$P$17,MATCH('Defensive Summary'!P$1,Output!$A$3:$A$17,0),MATCH('Defensive Summary'!$A67,Output!$B$2:$P$2,0))*INDEX(Output!$B$3:$P$17,MATCH('Defensive Summary'!P$1,Output!$A$3:$A$17,0),MATCH('Defensive Summary'!$B67,Output!$B$2:$P$2,0))</f>
        <v>0.5</v>
      </c>
      <c r="Q67" s="24">
        <f>INDEX(Output!$B$3:$P$17,MATCH('Defensive Summary'!Q$1,Output!$A$3:$A$17,0),MATCH('Defensive Summary'!$A67,Output!$B$2:$P$2,0))*INDEX(Output!$B$3:$P$17,MATCH('Defensive Summary'!Q$1,Output!$A$3:$A$17,0),MATCH('Defensive Summary'!$B67,Output!$B$2:$P$2,0))</f>
        <v>1</v>
      </c>
      <c r="R67" s="24"/>
      <c r="S67" s="25">
        <f t="shared" ref="S67:S106" si="1">SUM(V67:AJ67)</f>
        <v>3</v>
      </c>
      <c r="T67" s="22" t="s">
        <v>96</v>
      </c>
      <c r="U67" s="22" t="s">
        <v>11</v>
      </c>
      <c r="V67" s="24" cm="1">
        <f t="array" ref="V67">_xlfn.IFS(C67=1,0,C67=2,-1,C67=4,-2,C67=0.5,1,C67=0.25,2,C67=0,4)</f>
        <v>0</v>
      </c>
      <c r="W67" s="24" cm="1">
        <f t="array" ref="W67">_xlfn.IFS(D67=1,0,D67=2,-1,D67=4,-2,D67=0.5,1,D67=0.25,2,D67=0,4)</f>
        <v>0</v>
      </c>
      <c r="X67" s="24" cm="1">
        <f t="array" ref="X67">_xlfn.IFS(E67=1,0,E67=2,-1,E67=4,-2,E67=0.5,1,E67=0.25,2,E67=0,4)</f>
        <v>0</v>
      </c>
      <c r="Y67" s="24" cm="1">
        <f t="array" ref="Y67">_xlfn.IFS(F67=1,0,F67=2,-1,F67=4,-2,F67=0.5,1,F67=0.25,2,F67=0,4)</f>
        <v>-1</v>
      </c>
      <c r="Z67" s="24" cm="1">
        <f t="array" ref="Z67">_xlfn.IFS(G67=1,0,G67=2,-1,G67=4,-2,G67=0.5,1,G67=0.25,2,G67=0,4)</f>
        <v>0</v>
      </c>
      <c r="AA67" s="24" cm="1">
        <f t="array" ref="AA67">_xlfn.IFS(H67=1,0,H67=2,-1,H67=4,-2,H67=0.5,1,H67=0.25,2,H67=0,4)</f>
        <v>1</v>
      </c>
      <c r="AB67" s="24" cm="1">
        <f t="array" ref="AB67">_xlfn.IFS(I67=1,0,I67=2,-1,I67=4,-2,I67=0.5,1,I67=0.25,2,I67=0,4)</f>
        <v>2</v>
      </c>
      <c r="AC67" s="24" cm="1">
        <f t="array" ref="AC67">_xlfn.IFS(J67=1,0,J67=2,-1,J67=4,-2,J67=0.5,1,J67=0.25,2,J67=0,4)</f>
        <v>-1</v>
      </c>
      <c r="AD67" s="24" cm="1">
        <f t="array" ref="AD67">_xlfn.IFS(K67=1,0,K67=2,-1,K67=4,-2,K67=0.5,1,K67=0.25,2,K67=0,4)</f>
        <v>1</v>
      </c>
      <c r="AE67" s="24" cm="1">
        <f t="array" ref="AE67">_xlfn.IFS(L67=1,0,L67=2,-1,L67=4,-2,L67=0.5,1,L67=0.25,2,L67=0,4)</f>
        <v>-1</v>
      </c>
      <c r="AF67" s="24" cm="1">
        <f t="array" ref="AF67">_xlfn.IFS(M67=1,0,M67=2,-1,M67=4,-2,M67=0.5,1,M67=0.25,2,M67=0,4)</f>
        <v>1</v>
      </c>
      <c r="AG67" s="24" cm="1">
        <f t="array" ref="AG67">_xlfn.IFS(N67=1,0,N67=2,-1,N67=4,-2,N67=0.5,1,N67=0.25,2,N67=0,4)</f>
        <v>1</v>
      </c>
      <c r="AH67" s="24" cm="1">
        <f t="array" ref="AH67">_xlfn.IFS(O67=1,0,O67=2,-1,O67=4,-2,O67=0.5,1,O67=0.25,2,O67=0,4)</f>
        <v>-1</v>
      </c>
      <c r="AI67" s="24" cm="1">
        <f t="array" ref="AI67">_xlfn.IFS(P67=1,0,P67=2,-1,P67=4,-2,P67=0.5,1,P67=0.25,2,P67=0,4)</f>
        <v>1</v>
      </c>
      <c r="AJ67" s="24" cm="1">
        <f t="array" ref="AJ67">_xlfn.IFS(Q67=1,0,Q67=2,-1,Q67=4,-2,Q67=0.5,1,Q67=0.25,2,Q67=0,4)</f>
        <v>0</v>
      </c>
    </row>
    <row r="68" spans="1:36" x14ac:dyDescent="0.2">
      <c r="A68" s="22" t="s">
        <v>96</v>
      </c>
      <c r="B68" s="22" t="s">
        <v>12</v>
      </c>
      <c r="C68" s="24">
        <f>INDEX(Output!$B$3:$P$17,MATCH('Defensive Summary'!C$1,Output!$A$3:$A$17,0),MATCH('Defensive Summary'!$A68,Output!$B$2:$P$2,0))*INDEX(Output!$B$3:$P$17,MATCH('Defensive Summary'!C$1,Output!$A$3:$A$17,0),MATCH('Defensive Summary'!$B68,Output!$B$2:$P$2,0))</f>
        <v>2</v>
      </c>
      <c r="D68" s="24">
        <f>INDEX(Output!$B$3:$P$17,MATCH('Defensive Summary'!D$1,Output!$A$3:$A$17,0),MATCH('Defensive Summary'!$A68,Output!$B$2:$P$2,0))*INDEX(Output!$B$3:$P$17,MATCH('Defensive Summary'!D$1,Output!$A$3:$A$17,0),MATCH('Defensive Summary'!$B68,Output!$B$2:$P$2,0))</f>
        <v>2</v>
      </c>
      <c r="E68" s="24">
        <f>INDEX(Output!$B$3:$P$17,MATCH('Defensive Summary'!E$1,Output!$A$3:$A$17,0),MATCH('Defensive Summary'!$A68,Output!$B$2:$P$2,0))*INDEX(Output!$B$3:$P$17,MATCH('Defensive Summary'!E$1,Output!$A$3:$A$17,0),MATCH('Defensive Summary'!$B68,Output!$B$2:$P$2,0))</f>
        <v>2</v>
      </c>
      <c r="F68" s="24">
        <f>INDEX(Output!$B$3:$P$17,MATCH('Defensive Summary'!F$1,Output!$A$3:$A$17,0),MATCH('Defensive Summary'!$A68,Output!$B$2:$P$2,0))*INDEX(Output!$B$3:$P$17,MATCH('Defensive Summary'!F$1,Output!$A$3:$A$17,0),MATCH('Defensive Summary'!$B68,Output!$B$2:$P$2,0))</f>
        <v>2</v>
      </c>
      <c r="G68" s="24">
        <f>INDEX(Output!$B$3:$P$17,MATCH('Defensive Summary'!G$1,Output!$A$3:$A$17,0),MATCH('Defensive Summary'!$A68,Output!$B$2:$P$2,0))*INDEX(Output!$B$3:$P$17,MATCH('Defensive Summary'!G$1,Output!$A$3:$A$17,0),MATCH('Defensive Summary'!$B68,Output!$B$2:$P$2,0))</f>
        <v>0.5</v>
      </c>
      <c r="H68" s="24">
        <f>INDEX(Output!$B$3:$P$17,MATCH('Defensive Summary'!H$1,Output!$A$3:$A$17,0),MATCH('Defensive Summary'!$A68,Output!$B$2:$P$2,0))*INDEX(Output!$B$3:$P$17,MATCH('Defensive Summary'!H$1,Output!$A$3:$A$17,0),MATCH('Defensive Summary'!$B68,Output!$B$2:$P$2,0))</f>
        <v>1</v>
      </c>
      <c r="I68" s="24">
        <f>INDEX(Output!$B$3:$P$17,MATCH('Defensive Summary'!I$1,Output!$A$3:$A$17,0),MATCH('Defensive Summary'!$A68,Output!$B$2:$P$2,0))*INDEX(Output!$B$3:$P$17,MATCH('Defensive Summary'!I$1,Output!$A$3:$A$17,0),MATCH('Defensive Summary'!$B68,Output!$B$2:$P$2,0))</f>
        <v>1</v>
      </c>
      <c r="J68" s="24">
        <f>INDEX(Output!$B$3:$P$17,MATCH('Defensive Summary'!J$1,Output!$A$3:$A$17,0),MATCH('Defensive Summary'!$A68,Output!$B$2:$P$2,0))*INDEX(Output!$B$3:$P$17,MATCH('Defensive Summary'!J$1,Output!$A$3:$A$17,0),MATCH('Defensive Summary'!$B68,Output!$B$2:$P$2,0))</f>
        <v>1</v>
      </c>
      <c r="K68" s="24">
        <f>INDEX(Output!$B$3:$P$17,MATCH('Defensive Summary'!K$1,Output!$A$3:$A$17,0),MATCH('Defensive Summary'!$A68,Output!$B$2:$P$2,0))*INDEX(Output!$B$3:$P$17,MATCH('Defensive Summary'!K$1,Output!$A$3:$A$17,0),MATCH('Defensive Summary'!$B68,Output!$B$2:$P$2,0))</f>
        <v>0.5</v>
      </c>
      <c r="L68" s="24">
        <f>INDEX(Output!$B$3:$P$17,MATCH('Defensive Summary'!L$1,Output!$A$3:$A$17,0),MATCH('Defensive Summary'!$A68,Output!$B$2:$P$2,0))*INDEX(Output!$B$3:$P$17,MATCH('Defensive Summary'!L$1,Output!$A$3:$A$17,0),MATCH('Defensive Summary'!$B68,Output!$B$2:$P$2,0))</f>
        <v>4</v>
      </c>
      <c r="M68" s="24">
        <f>INDEX(Output!$B$3:$P$17,MATCH('Defensive Summary'!M$1,Output!$A$3:$A$17,0),MATCH('Defensive Summary'!$A68,Output!$B$2:$P$2,0))*INDEX(Output!$B$3:$P$17,MATCH('Defensive Summary'!M$1,Output!$A$3:$A$17,0),MATCH('Defensive Summary'!$B68,Output!$B$2:$P$2,0))</f>
        <v>0.5</v>
      </c>
      <c r="N68" s="24">
        <f>INDEX(Output!$B$3:$P$17,MATCH('Defensive Summary'!N$1,Output!$A$3:$A$17,0),MATCH('Defensive Summary'!$A68,Output!$B$2:$P$2,0))*INDEX(Output!$B$3:$P$17,MATCH('Defensive Summary'!N$1,Output!$A$3:$A$17,0),MATCH('Defensive Summary'!$B68,Output!$B$2:$P$2,0))</f>
        <v>0</v>
      </c>
      <c r="O68" s="24">
        <f>INDEX(Output!$B$3:$P$17,MATCH('Defensive Summary'!O$1,Output!$A$3:$A$17,0),MATCH('Defensive Summary'!$A68,Output!$B$2:$P$2,0))*INDEX(Output!$B$3:$P$17,MATCH('Defensive Summary'!O$1,Output!$A$3:$A$17,0),MATCH('Defensive Summary'!$B68,Output!$B$2:$P$2,0))</f>
        <v>0.5</v>
      </c>
      <c r="P68" s="24">
        <f>INDEX(Output!$B$3:$P$17,MATCH('Defensive Summary'!P$1,Output!$A$3:$A$17,0),MATCH('Defensive Summary'!$A68,Output!$B$2:$P$2,0))*INDEX(Output!$B$3:$P$17,MATCH('Defensive Summary'!P$1,Output!$A$3:$A$17,0),MATCH('Defensive Summary'!$B68,Output!$B$2:$P$2,0))</f>
        <v>0</v>
      </c>
      <c r="Q68" s="24">
        <f>INDEX(Output!$B$3:$P$17,MATCH('Defensive Summary'!Q$1,Output!$A$3:$A$17,0),MATCH('Defensive Summary'!$A68,Output!$B$2:$P$2,0))*INDEX(Output!$B$3:$P$17,MATCH('Defensive Summary'!Q$1,Output!$A$3:$A$17,0),MATCH('Defensive Summary'!$B68,Output!$B$2:$P$2,0))</f>
        <v>1</v>
      </c>
      <c r="R68" s="24"/>
      <c r="S68" s="25">
        <f t="shared" si="1"/>
        <v>6</v>
      </c>
      <c r="T68" s="22" t="s">
        <v>96</v>
      </c>
      <c r="U68" s="22" t="s">
        <v>12</v>
      </c>
      <c r="V68" s="24" cm="1">
        <f t="array" ref="V68">_xlfn.IFS(C68=1,0,C68=2,-1,C68=4,-2,C68=0.5,1,C68=0.25,2,C68=0,4)</f>
        <v>-1</v>
      </c>
      <c r="W68" s="24" cm="1">
        <f t="array" ref="W68">_xlfn.IFS(D68=1,0,D68=2,-1,D68=4,-2,D68=0.5,1,D68=0.25,2,D68=0,4)</f>
        <v>-1</v>
      </c>
      <c r="X68" s="24" cm="1">
        <f t="array" ref="X68">_xlfn.IFS(E68=1,0,E68=2,-1,E68=4,-2,E68=0.5,1,E68=0.25,2,E68=0,4)</f>
        <v>-1</v>
      </c>
      <c r="Y68" s="24" cm="1">
        <f t="array" ref="Y68">_xlfn.IFS(F68=1,0,F68=2,-1,F68=4,-2,F68=0.5,1,F68=0.25,2,F68=0,4)</f>
        <v>-1</v>
      </c>
      <c r="Z68" s="24" cm="1">
        <f t="array" ref="Z68">_xlfn.IFS(G68=1,0,G68=2,-1,G68=4,-2,G68=0.5,1,G68=0.25,2,G68=0,4)</f>
        <v>1</v>
      </c>
      <c r="AA68" s="24" cm="1">
        <f t="array" ref="AA68">_xlfn.IFS(H68=1,0,H68=2,-1,H68=4,-2,H68=0.5,1,H68=0.25,2,H68=0,4)</f>
        <v>0</v>
      </c>
      <c r="AB68" s="24" cm="1">
        <f t="array" ref="AB68">_xlfn.IFS(I68=1,0,I68=2,-1,I68=4,-2,I68=0.5,1,I68=0.25,2,I68=0,4)</f>
        <v>0</v>
      </c>
      <c r="AC68" s="24" cm="1">
        <f t="array" ref="AC68">_xlfn.IFS(J68=1,0,J68=2,-1,J68=4,-2,J68=0.5,1,J68=0.25,2,J68=0,4)</f>
        <v>0</v>
      </c>
      <c r="AD68" s="24" cm="1">
        <f t="array" ref="AD68">_xlfn.IFS(K68=1,0,K68=2,-1,K68=4,-2,K68=0.5,1,K68=0.25,2,K68=0,4)</f>
        <v>1</v>
      </c>
      <c r="AE68" s="24" cm="1">
        <f t="array" ref="AE68">_xlfn.IFS(L68=1,0,L68=2,-1,L68=4,-2,L68=0.5,1,L68=0.25,2,L68=0,4)</f>
        <v>-2</v>
      </c>
      <c r="AF68" s="24" cm="1">
        <f t="array" ref="AF68">_xlfn.IFS(M68=1,0,M68=2,-1,M68=4,-2,M68=0.5,1,M68=0.25,2,M68=0,4)</f>
        <v>1</v>
      </c>
      <c r="AG68" s="24" cm="1">
        <f t="array" ref="AG68">_xlfn.IFS(N68=1,0,N68=2,-1,N68=4,-2,N68=0.5,1,N68=0.25,2,N68=0,4)</f>
        <v>4</v>
      </c>
      <c r="AH68" s="24" cm="1">
        <f t="array" ref="AH68">_xlfn.IFS(O68=1,0,O68=2,-1,O68=4,-2,O68=0.5,1,O68=0.25,2,O68=0,4)</f>
        <v>1</v>
      </c>
      <c r="AI68" s="24" cm="1">
        <f t="array" ref="AI68">_xlfn.IFS(P68=1,0,P68=2,-1,P68=4,-2,P68=0.5,1,P68=0.25,2,P68=0,4)</f>
        <v>4</v>
      </c>
      <c r="AJ68" s="24" cm="1">
        <f t="array" ref="AJ68">_xlfn.IFS(Q68=1,0,Q68=2,-1,Q68=4,-2,Q68=0.5,1,Q68=0.25,2,Q68=0,4)</f>
        <v>0</v>
      </c>
    </row>
    <row r="69" spans="1:36" x14ac:dyDescent="0.2">
      <c r="A69" s="22" t="s">
        <v>96</v>
      </c>
      <c r="B69" s="22" t="s">
        <v>13</v>
      </c>
      <c r="C69" s="24">
        <f>INDEX(Output!$B$3:$P$17,MATCH('Defensive Summary'!C$1,Output!$A$3:$A$17,0),MATCH('Defensive Summary'!$A69,Output!$B$2:$P$2,0))*INDEX(Output!$B$3:$P$17,MATCH('Defensive Summary'!C$1,Output!$A$3:$A$17,0),MATCH('Defensive Summary'!$B69,Output!$B$2:$P$2,0))</f>
        <v>1</v>
      </c>
      <c r="D69" s="24">
        <f>INDEX(Output!$B$3:$P$17,MATCH('Defensive Summary'!D$1,Output!$A$3:$A$17,0),MATCH('Defensive Summary'!$A69,Output!$B$2:$P$2,0))*INDEX(Output!$B$3:$P$17,MATCH('Defensive Summary'!D$1,Output!$A$3:$A$17,0),MATCH('Defensive Summary'!$B69,Output!$B$2:$P$2,0))</f>
        <v>0.5</v>
      </c>
      <c r="E69" s="24">
        <f>INDEX(Output!$B$3:$P$17,MATCH('Defensive Summary'!E$1,Output!$A$3:$A$17,0),MATCH('Defensive Summary'!$A69,Output!$B$2:$P$2,0))*INDEX(Output!$B$3:$P$17,MATCH('Defensive Summary'!E$1,Output!$A$3:$A$17,0),MATCH('Defensive Summary'!$B69,Output!$B$2:$P$2,0))</f>
        <v>1</v>
      </c>
      <c r="F69" s="24">
        <f>INDEX(Output!$B$3:$P$17,MATCH('Defensive Summary'!F$1,Output!$A$3:$A$17,0),MATCH('Defensive Summary'!$A69,Output!$B$2:$P$2,0))*INDEX(Output!$B$3:$P$17,MATCH('Defensive Summary'!F$1,Output!$A$3:$A$17,0),MATCH('Defensive Summary'!$B69,Output!$B$2:$P$2,0))</f>
        <v>2</v>
      </c>
      <c r="G69" s="24">
        <f>INDEX(Output!$B$3:$P$17,MATCH('Defensive Summary'!G$1,Output!$A$3:$A$17,0),MATCH('Defensive Summary'!$A69,Output!$B$2:$P$2,0))*INDEX(Output!$B$3:$P$17,MATCH('Defensive Summary'!G$1,Output!$A$3:$A$17,0),MATCH('Defensive Summary'!$B69,Output!$B$2:$P$2,0))</f>
        <v>1</v>
      </c>
      <c r="H69" s="24">
        <f>INDEX(Output!$B$3:$P$17,MATCH('Defensive Summary'!H$1,Output!$A$3:$A$17,0),MATCH('Defensive Summary'!$A69,Output!$B$2:$P$2,0))*INDEX(Output!$B$3:$P$17,MATCH('Defensive Summary'!H$1,Output!$A$3:$A$17,0),MATCH('Defensive Summary'!$B69,Output!$B$2:$P$2,0))</f>
        <v>0.25</v>
      </c>
      <c r="I69" s="24">
        <f>INDEX(Output!$B$3:$P$17,MATCH('Defensive Summary'!I$1,Output!$A$3:$A$17,0),MATCH('Defensive Summary'!$A69,Output!$B$2:$P$2,0))*INDEX(Output!$B$3:$P$17,MATCH('Defensive Summary'!I$1,Output!$A$3:$A$17,0),MATCH('Defensive Summary'!$B69,Output!$B$2:$P$2,0))</f>
        <v>0.25</v>
      </c>
      <c r="J69" s="24">
        <f>INDEX(Output!$B$3:$P$17,MATCH('Defensive Summary'!J$1,Output!$A$3:$A$17,0),MATCH('Defensive Summary'!$A69,Output!$B$2:$P$2,0))*INDEX(Output!$B$3:$P$17,MATCH('Defensive Summary'!J$1,Output!$A$3:$A$17,0),MATCH('Defensive Summary'!$B69,Output!$B$2:$P$2,0))</f>
        <v>2</v>
      </c>
      <c r="K69" s="24">
        <f>INDEX(Output!$B$3:$P$17,MATCH('Defensive Summary'!K$1,Output!$A$3:$A$17,0),MATCH('Defensive Summary'!$A69,Output!$B$2:$P$2,0))*INDEX(Output!$B$3:$P$17,MATCH('Defensive Summary'!K$1,Output!$A$3:$A$17,0),MATCH('Defensive Summary'!$B69,Output!$B$2:$P$2,0))</f>
        <v>1</v>
      </c>
      <c r="L69" s="24">
        <f>INDEX(Output!$B$3:$P$17,MATCH('Defensive Summary'!L$1,Output!$A$3:$A$17,0),MATCH('Defensive Summary'!$A69,Output!$B$2:$P$2,0))*INDEX(Output!$B$3:$P$17,MATCH('Defensive Summary'!L$1,Output!$A$3:$A$17,0),MATCH('Defensive Summary'!$B69,Output!$B$2:$P$2,0))</f>
        <v>2</v>
      </c>
      <c r="M69" s="24">
        <f>INDEX(Output!$B$3:$P$17,MATCH('Defensive Summary'!M$1,Output!$A$3:$A$17,0),MATCH('Defensive Summary'!$A69,Output!$B$2:$P$2,0))*INDEX(Output!$B$3:$P$17,MATCH('Defensive Summary'!M$1,Output!$A$3:$A$17,0),MATCH('Defensive Summary'!$B69,Output!$B$2:$P$2,0))</f>
        <v>0.25</v>
      </c>
      <c r="N69" s="24">
        <f>INDEX(Output!$B$3:$P$17,MATCH('Defensive Summary'!N$1,Output!$A$3:$A$17,0),MATCH('Defensive Summary'!$A69,Output!$B$2:$P$2,0))*INDEX(Output!$B$3:$P$17,MATCH('Defensive Summary'!N$1,Output!$A$3:$A$17,0),MATCH('Defensive Summary'!$B69,Output!$B$2:$P$2,0))</f>
        <v>0.5</v>
      </c>
      <c r="O69" s="24">
        <f>INDEX(Output!$B$3:$P$17,MATCH('Defensive Summary'!O$1,Output!$A$3:$A$17,0),MATCH('Defensive Summary'!$A69,Output!$B$2:$P$2,0))*INDEX(Output!$B$3:$P$17,MATCH('Defensive Summary'!O$1,Output!$A$3:$A$17,0),MATCH('Defensive Summary'!$B69,Output!$B$2:$P$2,0))</f>
        <v>2</v>
      </c>
      <c r="P69" s="24">
        <f>INDEX(Output!$B$3:$P$17,MATCH('Defensive Summary'!P$1,Output!$A$3:$A$17,0),MATCH('Defensive Summary'!$A69,Output!$B$2:$P$2,0))*INDEX(Output!$B$3:$P$17,MATCH('Defensive Summary'!P$1,Output!$A$3:$A$17,0),MATCH('Defensive Summary'!$B69,Output!$B$2:$P$2,0))</f>
        <v>0.5</v>
      </c>
      <c r="Q69" s="24">
        <f>INDEX(Output!$B$3:$P$17,MATCH('Defensive Summary'!Q$1,Output!$A$3:$A$17,0),MATCH('Defensive Summary'!$A69,Output!$B$2:$P$2,0))*INDEX(Output!$B$3:$P$17,MATCH('Defensive Summary'!Q$1,Output!$A$3:$A$17,0),MATCH('Defensive Summary'!$B69,Output!$B$2:$P$2,0))</f>
        <v>1</v>
      </c>
      <c r="R69" s="24"/>
      <c r="S69" s="25">
        <f t="shared" si="1"/>
        <v>5</v>
      </c>
      <c r="T69" s="22" t="s">
        <v>96</v>
      </c>
      <c r="U69" s="22" t="s">
        <v>13</v>
      </c>
      <c r="V69" s="24" cm="1">
        <f t="array" ref="V69">_xlfn.IFS(C69=1,0,C69=2,-1,C69=4,-2,C69=0.5,1,C69=0.25,2,C69=0,4)</f>
        <v>0</v>
      </c>
      <c r="W69" s="24" cm="1">
        <f t="array" ref="W69">_xlfn.IFS(D69=1,0,D69=2,-1,D69=4,-2,D69=0.5,1,D69=0.25,2,D69=0,4)</f>
        <v>1</v>
      </c>
      <c r="X69" s="24" cm="1">
        <f t="array" ref="X69">_xlfn.IFS(E69=1,0,E69=2,-1,E69=4,-2,E69=0.5,1,E69=0.25,2,E69=0,4)</f>
        <v>0</v>
      </c>
      <c r="Y69" s="24" cm="1">
        <f t="array" ref="Y69">_xlfn.IFS(F69=1,0,F69=2,-1,F69=4,-2,F69=0.5,1,F69=0.25,2,F69=0,4)</f>
        <v>-1</v>
      </c>
      <c r="Z69" s="24" cm="1">
        <f t="array" ref="Z69">_xlfn.IFS(G69=1,0,G69=2,-1,G69=4,-2,G69=0.5,1,G69=0.25,2,G69=0,4)</f>
        <v>0</v>
      </c>
      <c r="AA69" s="24" cm="1">
        <f t="array" ref="AA69">_xlfn.IFS(H69=1,0,H69=2,-1,H69=4,-2,H69=0.5,1,H69=0.25,2,H69=0,4)</f>
        <v>2</v>
      </c>
      <c r="AB69" s="24" cm="1">
        <f t="array" ref="AB69">_xlfn.IFS(I69=1,0,I69=2,-1,I69=4,-2,I69=0.5,1,I69=0.25,2,I69=0,4)</f>
        <v>2</v>
      </c>
      <c r="AC69" s="24" cm="1">
        <f t="array" ref="AC69">_xlfn.IFS(J69=1,0,J69=2,-1,J69=4,-2,J69=0.5,1,J69=0.25,2,J69=0,4)</f>
        <v>-1</v>
      </c>
      <c r="AD69" s="24" cm="1">
        <f t="array" ref="AD69">_xlfn.IFS(K69=1,0,K69=2,-1,K69=4,-2,K69=0.5,1,K69=0.25,2,K69=0,4)</f>
        <v>0</v>
      </c>
      <c r="AE69" s="24" cm="1">
        <f t="array" ref="AE69">_xlfn.IFS(L69=1,0,L69=2,-1,L69=4,-2,L69=0.5,1,L69=0.25,2,L69=0,4)</f>
        <v>-1</v>
      </c>
      <c r="AF69" s="24" cm="1">
        <f t="array" ref="AF69">_xlfn.IFS(M69=1,0,M69=2,-1,M69=4,-2,M69=0.5,1,M69=0.25,2,M69=0,4)</f>
        <v>2</v>
      </c>
      <c r="AG69" s="24" cm="1">
        <f t="array" ref="AG69">_xlfn.IFS(N69=1,0,N69=2,-1,N69=4,-2,N69=0.5,1,N69=0.25,2,N69=0,4)</f>
        <v>1</v>
      </c>
      <c r="AH69" s="24" cm="1">
        <f t="array" ref="AH69">_xlfn.IFS(O69=1,0,O69=2,-1,O69=4,-2,O69=0.5,1,O69=0.25,2,O69=0,4)</f>
        <v>-1</v>
      </c>
      <c r="AI69" s="24" cm="1">
        <f t="array" ref="AI69">_xlfn.IFS(P69=1,0,P69=2,-1,P69=4,-2,P69=0.5,1,P69=0.25,2,P69=0,4)</f>
        <v>1</v>
      </c>
      <c r="AJ69" s="24" cm="1">
        <f t="array" ref="AJ69">_xlfn.IFS(Q69=1,0,Q69=2,-1,Q69=4,-2,Q69=0.5,1,Q69=0.25,2,Q69=0,4)</f>
        <v>0</v>
      </c>
    </row>
    <row r="70" spans="1:36" x14ac:dyDescent="0.2">
      <c r="A70" s="22" t="s">
        <v>96</v>
      </c>
      <c r="B70" s="22" t="s">
        <v>14</v>
      </c>
      <c r="C70" s="24">
        <f>INDEX(Output!$B$3:$P$17,MATCH('Defensive Summary'!C$1,Output!$A$3:$A$17,0),MATCH('Defensive Summary'!$A70,Output!$B$2:$P$2,0))*INDEX(Output!$B$3:$P$17,MATCH('Defensive Summary'!C$1,Output!$A$3:$A$17,0),MATCH('Defensive Summary'!$B70,Output!$B$2:$P$2,0))</f>
        <v>1</v>
      </c>
      <c r="D70" s="24">
        <f>INDEX(Output!$B$3:$P$17,MATCH('Defensive Summary'!D$1,Output!$A$3:$A$17,0),MATCH('Defensive Summary'!$A70,Output!$B$2:$P$2,0))*INDEX(Output!$B$3:$P$17,MATCH('Defensive Summary'!D$1,Output!$A$3:$A$17,0),MATCH('Defensive Summary'!$B70,Output!$B$2:$P$2,0))</f>
        <v>1</v>
      </c>
      <c r="E70" s="24">
        <f>INDEX(Output!$B$3:$P$17,MATCH('Defensive Summary'!E$1,Output!$A$3:$A$17,0),MATCH('Defensive Summary'!$A70,Output!$B$2:$P$2,0))*INDEX(Output!$B$3:$P$17,MATCH('Defensive Summary'!E$1,Output!$A$3:$A$17,0),MATCH('Defensive Summary'!$B70,Output!$B$2:$P$2,0))</f>
        <v>1</v>
      </c>
      <c r="F70" s="24">
        <f>INDEX(Output!$B$3:$P$17,MATCH('Defensive Summary'!F$1,Output!$A$3:$A$17,0),MATCH('Defensive Summary'!$A70,Output!$B$2:$P$2,0))*INDEX(Output!$B$3:$P$17,MATCH('Defensive Summary'!F$1,Output!$A$3:$A$17,0),MATCH('Defensive Summary'!$B70,Output!$B$2:$P$2,0))</f>
        <v>2</v>
      </c>
      <c r="G70" s="24">
        <f>INDEX(Output!$B$3:$P$17,MATCH('Defensive Summary'!G$1,Output!$A$3:$A$17,0),MATCH('Defensive Summary'!$A70,Output!$B$2:$P$2,0))*INDEX(Output!$B$3:$P$17,MATCH('Defensive Summary'!G$1,Output!$A$3:$A$17,0),MATCH('Defensive Summary'!$B70,Output!$B$2:$P$2,0))</f>
        <v>1</v>
      </c>
      <c r="H70" s="24">
        <f>INDEX(Output!$B$3:$P$17,MATCH('Defensive Summary'!H$1,Output!$A$3:$A$17,0),MATCH('Defensive Summary'!$A70,Output!$B$2:$P$2,0))*INDEX(Output!$B$3:$P$17,MATCH('Defensive Summary'!H$1,Output!$A$3:$A$17,0),MATCH('Defensive Summary'!$B70,Output!$B$2:$P$2,0))</f>
        <v>0.5</v>
      </c>
      <c r="I70" s="24">
        <f>INDEX(Output!$B$3:$P$17,MATCH('Defensive Summary'!I$1,Output!$A$3:$A$17,0),MATCH('Defensive Summary'!$A70,Output!$B$2:$P$2,0))*INDEX(Output!$B$3:$P$17,MATCH('Defensive Summary'!I$1,Output!$A$3:$A$17,0),MATCH('Defensive Summary'!$B70,Output!$B$2:$P$2,0))</f>
        <v>0.5</v>
      </c>
      <c r="J70" s="24">
        <f>INDEX(Output!$B$3:$P$17,MATCH('Defensive Summary'!J$1,Output!$A$3:$A$17,0),MATCH('Defensive Summary'!$A70,Output!$B$2:$P$2,0))*INDEX(Output!$B$3:$P$17,MATCH('Defensive Summary'!J$1,Output!$A$3:$A$17,0),MATCH('Defensive Summary'!$B70,Output!$B$2:$P$2,0))</f>
        <v>2</v>
      </c>
      <c r="K70" s="24">
        <f>INDEX(Output!$B$3:$P$17,MATCH('Defensive Summary'!K$1,Output!$A$3:$A$17,0),MATCH('Defensive Summary'!$A70,Output!$B$2:$P$2,0))*INDEX(Output!$B$3:$P$17,MATCH('Defensive Summary'!K$1,Output!$A$3:$A$17,0),MATCH('Defensive Summary'!$B70,Output!$B$2:$P$2,0))</f>
        <v>0.5</v>
      </c>
      <c r="L70" s="24">
        <f>INDEX(Output!$B$3:$P$17,MATCH('Defensive Summary'!L$1,Output!$A$3:$A$17,0),MATCH('Defensive Summary'!$A70,Output!$B$2:$P$2,0))*INDEX(Output!$B$3:$P$17,MATCH('Defensive Summary'!L$1,Output!$A$3:$A$17,0),MATCH('Defensive Summary'!$B70,Output!$B$2:$P$2,0))</f>
        <v>2</v>
      </c>
      <c r="M70" s="24">
        <f>INDEX(Output!$B$3:$P$17,MATCH('Defensive Summary'!M$1,Output!$A$3:$A$17,0),MATCH('Defensive Summary'!$A70,Output!$B$2:$P$2,0))*INDEX(Output!$B$3:$P$17,MATCH('Defensive Summary'!M$1,Output!$A$3:$A$17,0),MATCH('Defensive Summary'!$B70,Output!$B$2:$P$2,0))</f>
        <v>0.5</v>
      </c>
      <c r="N70" s="24">
        <f>INDEX(Output!$B$3:$P$17,MATCH('Defensive Summary'!N$1,Output!$A$3:$A$17,0),MATCH('Defensive Summary'!$A70,Output!$B$2:$P$2,0))*INDEX(Output!$B$3:$P$17,MATCH('Defensive Summary'!N$1,Output!$A$3:$A$17,0),MATCH('Defensive Summary'!$B70,Output!$B$2:$P$2,0))</f>
        <v>1</v>
      </c>
      <c r="O70" s="24">
        <f>INDEX(Output!$B$3:$P$17,MATCH('Defensive Summary'!O$1,Output!$A$3:$A$17,0),MATCH('Defensive Summary'!$A70,Output!$B$2:$P$2,0))*INDEX(Output!$B$3:$P$17,MATCH('Defensive Summary'!O$1,Output!$A$3:$A$17,0),MATCH('Defensive Summary'!$B70,Output!$B$2:$P$2,0))</f>
        <v>1</v>
      </c>
      <c r="P70" s="24">
        <f>INDEX(Output!$B$3:$P$17,MATCH('Defensive Summary'!P$1,Output!$A$3:$A$17,0),MATCH('Defensive Summary'!$A70,Output!$B$2:$P$2,0))*INDEX(Output!$B$3:$P$17,MATCH('Defensive Summary'!P$1,Output!$A$3:$A$17,0),MATCH('Defensive Summary'!$B70,Output!$B$2:$P$2,0))</f>
        <v>1</v>
      </c>
      <c r="Q70" s="24">
        <f>INDEX(Output!$B$3:$P$17,MATCH('Defensive Summary'!Q$1,Output!$A$3:$A$17,0),MATCH('Defensive Summary'!$A70,Output!$B$2:$P$2,0))*INDEX(Output!$B$3:$P$17,MATCH('Defensive Summary'!Q$1,Output!$A$3:$A$17,0),MATCH('Defensive Summary'!$B70,Output!$B$2:$P$2,0))</f>
        <v>1</v>
      </c>
      <c r="R70" s="24"/>
      <c r="S70" s="25">
        <f t="shared" si="1"/>
        <v>1</v>
      </c>
      <c r="T70" s="22" t="s">
        <v>96</v>
      </c>
      <c r="U70" s="22" t="s">
        <v>14</v>
      </c>
      <c r="V70" s="24" cm="1">
        <f t="array" ref="V70">_xlfn.IFS(C70=1,0,C70=2,-1,C70=4,-2,C70=0.5,1,C70=0.25,2,C70=0,4)</f>
        <v>0</v>
      </c>
      <c r="W70" s="24" cm="1">
        <f t="array" ref="W70">_xlfn.IFS(D70=1,0,D70=2,-1,D70=4,-2,D70=0.5,1,D70=0.25,2,D70=0,4)</f>
        <v>0</v>
      </c>
      <c r="X70" s="24" cm="1">
        <f t="array" ref="X70">_xlfn.IFS(E70=1,0,E70=2,-1,E70=4,-2,E70=0.5,1,E70=0.25,2,E70=0,4)</f>
        <v>0</v>
      </c>
      <c r="Y70" s="24" cm="1">
        <f t="array" ref="Y70">_xlfn.IFS(F70=1,0,F70=2,-1,F70=4,-2,F70=0.5,1,F70=0.25,2,F70=0,4)</f>
        <v>-1</v>
      </c>
      <c r="Z70" s="24" cm="1">
        <f t="array" ref="Z70">_xlfn.IFS(G70=1,0,G70=2,-1,G70=4,-2,G70=0.5,1,G70=0.25,2,G70=0,4)</f>
        <v>0</v>
      </c>
      <c r="AA70" s="24" cm="1">
        <f t="array" ref="AA70">_xlfn.IFS(H70=1,0,H70=2,-1,H70=4,-2,H70=0.5,1,H70=0.25,2,H70=0,4)</f>
        <v>1</v>
      </c>
      <c r="AB70" s="24" cm="1">
        <f t="array" ref="AB70">_xlfn.IFS(I70=1,0,I70=2,-1,I70=4,-2,I70=0.5,1,I70=0.25,2,I70=0,4)</f>
        <v>1</v>
      </c>
      <c r="AC70" s="24" cm="1">
        <f t="array" ref="AC70">_xlfn.IFS(J70=1,0,J70=2,-1,J70=4,-2,J70=0.5,1,J70=0.25,2,J70=0,4)</f>
        <v>-1</v>
      </c>
      <c r="AD70" s="24" cm="1">
        <f t="array" ref="AD70">_xlfn.IFS(K70=1,0,K70=2,-1,K70=4,-2,K70=0.5,1,K70=0.25,2,K70=0,4)</f>
        <v>1</v>
      </c>
      <c r="AE70" s="24" cm="1">
        <f t="array" ref="AE70">_xlfn.IFS(L70=1,0,L70=2,-1,L70=4,-2,L70=0.5,1,L70=0.25,2,L70=0,4)</f>
        <v>-1</v>
      </c>
      <c r="AF70" s="24" cm="1">
        <f t="array" ref="AF70">_xlfn.IFS(M70=1,0,M70=2,-1,M70=4,-2,M70=0.5,1,M70=0.25,2,M70=0,4)</f>
        <v>1</v>
      </c>
      <c r="AG70" s="24" cm="1">
        <f t="array" ref="AG70">_xlfn.IFS(N70=1,0,N70=2,-1,N70=4,-2,N70=0.5,1,N70=0.25,2,N70=0,4)</f>
        <v>0</v>
      </c>
      <c r="AH70" s="24" cm="1">
        <f t="array" ref="AH70">_xlfn.IFS(O70=1,0,O70=2,-1,O70=4,-2,O70=0.5,1,O70=0.25,2,O70=0,4)</f>
        <v>0</v>
      </c>
      <c r="AI70" s="24" cm="1">
        <f t="array" ref="AI70">_xlfn.IFS(P70=1,0,P70=2,-1,P70=4,-2,P70=0.5,1,P70=0.25,2,P70=0,4)</f>
        <v>0</v>
      </c>
      <c r="AJ70" s="24" cm="1">
        <f t="array" ref="AJ70">_xlfn.IFS(Q70=1,0,Q70=2,-1,Q70=4,-2,Q70=0.5,1,Q70=0.25,2,Q70=0,4)</f>
        <v>0</v>
      </c>
    </row>
    <row r="71" spans="1:36" x14ac:dyDescent="0.2">
      <c r="A71" s="22" t="s">
        <v>6</v>
      </c>
      <c r="B71" s="22" t="s">
        <v>7</v>
      </c>
      <c r="C71" s="24">
        <f>INDEX(Output!$B$3:$P$17,MATCH('Defensive Summary'!C$1,Output!$A$3:$A$17,0),MATCH('Defensive Summary'!$A71,Output!$B$2:$P$2,0))*INDEX(Output!$B$3:$P$17,MATCH('Defensive Summary'!C$1,Output!$A$3:$A$17,0),MATCH('Defensive Summary'!$B71,Output!$B$2:$P$2,0))</f>
        <v>2</v>
      </c>
      <c r="D71" s="24">
        <f>INDEX(Output!$B$3:$P$17,MATCH('Defensive Summary'!D$1,Output!$A$3:$A$17,0),MATCH('Defensive Summary'!$A71,Output!$B$2:$P$2,0))*INDEX(Output!$B$3:$P$17,MATCH('Defensive Summary'!D$1,Output!$A$3:$A$17,0),MATCH('Defensive Summary'!$B71,Output!$B$2:$P$2,0))</f>
        <v>0.5</v>
      </c>
      <c r="E71" s="24">
        <f>INDEX(Output!$B$3:$P$17,MATCH('Defensive Summary'!E$1,Output!$A$3:$A$17,0),MATCH('Defensive Summary'!$A71,Output!$B$2:$P$2,0))*INDEX(Output!$B$3:$P$17,MATCH('Defensive Summary'!E$1,Output!$A$3:$A$17,0),MATCH('Defensive Summary'!$B71,Output!$B$2:$P$2,0))</f>
        <v>0.5</v>
      </c>
      <c r="F71" s="24">
        <f>INDEX(Output!$B$3:$P$17,MATCH('Defensive Summary'!F$1,Output!$A$3:$A$17,0),MATCH('Defensive Summary'!$A71,Output!$B$2:$P$2,0))*INDEX(Output!$B$3:$P$17,MATCH('Defensive Summary'!F$1,Output!$A$3:$A$17,0),MATCH('Defensive Summary'!$B71,Output!$B$2:$P$2,0))</f>
        <v>0.25</v>
      </c>
      <c r="G71" s="24">
        <f>INDEX(Output!$B$3:$P$17,MATCH('Defensive Summary'!G$1,Output!$A$3:$A$17,0),MATCH('Defensive Summary'!$A71,Output!$B$2:$P$2,0))*INDEX(Output!$B$3:$P$17,MATCH('Defensive Summary'!G$1,Output!$A$3:$A$17,0),MATCH('Defensive Summary'!$B71,Output!$B$2:$P$2,0))</f>
        <v>2</v>
      </c>
      <c r="H71" s="24">
        <f>INDEX(Output!$B$3:$P$17,MATCH('Defensive Summary'!H$1,Output!$A$3:$A$17,0),MATCH('Defensive Summary'!$A71,Output!$B$2:$P$2,0))*INDEX(Output!$B$3:$P$17,MATCH('Defensive Summary'!H$1,Output!$A$3:$A$17,0),MATCH('Defensive Summary'!$B71,Output!$B$2:$P$2,0))</f>
        <v>0.25</v>
      </c>
      <c r="I71" s="24">
        <f>INDEX(Output!$B$3:$P$17,MATCH('Defensive Summary'!I$1,Output!$A$3:$A$17,0),MATCH('Defensive Summary'!$A71,Output!$B$2:$P$2,0))*INDEX(Output!$B$3:$P$17,MATCH('Defensive Summary'!I$1,Output!$A$3:$A$17,0),MATCH('Defensive Summary'!$B71,Output!$B$2:$P$2,0))</f>
        <v>0.5</v>
      </c>
      <c r="J71" s="24">
        <f>INDEX(Output!$B$3:$P$17,MATCH('Defensive Summary'!J$1,Output!$A$3:$A$17,0),MATCH('Defensive Summary'!$A71,Output!$B$2:$P$2,0))*INDEX(Output!$B$3:$P$17,MATCH('Defensive Summary'!J$1,Output!$A$3:$A$17,0),MATCH('Defensive Summary'!$B71,Output!$B$2:$P$2,0))</f>
        <v>1</v>
      </c>
      <c r="K71" s="24">
        <f>INDEX(Output!$B$3:$P$17,MATCH('Defensive Summary'!K$1,Output!$A$3:$A$17,0),MATCH('Defensive Summary'!$A71,Output!$B$2:$P$2,0))*INDEX(Output!$B$3:$P$17,MATCH('Defensive Summary'!K$1,Output!$A$3:$A$17,0),MATCH('Defensive Summary'!$B71,Output!$B$2:$P$2,0))</f>
        <v>2</v>
      </c>
      <c r="L71" s="24">
        <f>INDEX(Output!$B$3:$P$17,MATCH('Defensive Summary'!L$1,Output!$A$3:$A$17,0),MATCH('Defensive Summary'!$A71,Output!$B$2:$P$2,0))*INDEX(Output!$B$3:$P$17,MATCH('Defensive Summary'!L$1,Output!$A$3:$A$17,0),MATCH('Defensive Summary'!$B71,Output!$B$2:$P$2,0))</f>
        <v>0.5</v>
      </c>
      <c r="M71" s="24">
        <f>INDEX(Output!$B$3:$P$17,MATCH('Defensive Summary'!M$1,Output!$A$3:$A$17,0),MATCH('Defensive Summary'!$A71,Output!$B$2:$P$2,0))*INDEX(Output!$B$3:$P$17,MATCH('Defensive Summary'!M$1,Output!$A$3:$A$17,0),MATCH('Defensive Summary'!$B71,Output!$B$2:$P$2,0))</f>
        <v>0</v>
      </c>
      <c r="N71" s="24">
        <f>INDEX(Output!$B$3:$P$17,MATCH('Defensive Summary'!N$1,Output!$A$3:$A$17,0),MATCH('Defensive Summary'!$A71,Output!$B$2:$P$2,0))*INDEX(Output!$B$3:$P$17,MATCH('Defensive Summary'!N$1,Output!$A$3:$A$17,0),MATCH('Defensive Summary'!$B71,Output!$B$2:$P$2,0))</f>
        <v>2</v>
      </c>
      <c r="O71" s="24">
        <f>INDEX(Output!$B$3:$P$17,MATCH('Defensive Summary'!O$1,Output!$A$3:$A$17,0),MATCH('Defensive Summary'!$A71,Output!$B$2:$P$2,0))*INDEX(Output!$B$3:$P$17,MATCH('Defensive Summary'!O$1,Output!$A$3:$A$17,0),MATCH('Defensive Summary'!$B71,Output!$B$2:$P$2,0))</f>
        <v>2</v>
      </c>
      <c r="P71" s="24">
        <f>INDEX(Output!$B$3:$P$17,MATCH('Defensive Summary'!P$1,Output!$A$3:$A$17,0),MATCH('Defensive Summary'!$A71,Output!$B$2:$P$2,0))*INDEX(Output!$B$3:$P$17,MATCH('Defensive Summary'!P$1,Output!$A$3:$A$17,0),MATCH('Defensive Summary'!$B71,Output!$B$2:$P$2,0))</f>
        <v>1</v>
      </c>
      <c r="Q71" s="24">
        <f>INDEX(Output!$B$3:$P$17,MATCH('Defensive Summary'!Q$1,Output!$A$3:$A$17,0),MATCH('Defensive Summary'!$A71,Output!$B$2:$P$2,0))*INDEX(Output!$B$3:$P$17,MATCH('Defensive Summary'!Q$1,Output!$A$3:$A$17,0),MATCH('Defensive Summary'!$B71,Output!$B$2:$P$2,0))</f>
        <v>1</v>
      </c>
      <c r="R71" s="24"/>
      <c r="S71" s="25">
        <f t="shared" si="1"/>
        <v>7</v>
      </c>
      <c r="T71" s="22" t="s">
        <v>6</v>
      </c>
      <c r="U71" s="22" t="s">
        <v>7</v>
      </c>
      <c r="V71" s="24" cm="1">
        <f t="array" ref="V71">_xlfn.IFS(C71=1,0,C71=2,-1,C71=4,-2,C71=0.5,1,C71=0.25,2,C71=0,4)</f>
        <v>-1</v>
      </c>
      <c r="W71" s="24" cm="1">
        <f t="array" ref="W71">_xlfn.IFS(D71=1,0,D71=2,-1,D71=4,-2,D71=0.5,1,D71=0.25,2,D71=0,4)</f>
        <v>1</v>
      </c>
      <c r="X71" s="24" cm="1">
        <f t="array" ref="X71">_xlfn.IFS(E71=1,0,E71=2,-1,E71=4,-2,E71=0.5,1,E71=0.25,2,E71=0,4)</f>
        <v>1</v>
      </c>
      <c r="Y71" s="24" cm="1">
        <f t="array" ref="Y71">_xlfn.IFS(F71=1,0,F71=2,-1,F71=4,-2,F71=0.5,1,F71=0.25,2,F71=0,4)</f>
        <v>2</v>
      </c>
      <c r="Z71" s="24" cm="1">
        <f t="array" ref="Z71">_xlfn.IFS(G71=1,0,G71=2,-1,G71=4,-2,G71=0.5,1,G71=0.25,2,G71=0,4)</f>
        <v>-1</v>
      </c>
      <c r="AA71" s="24" cm="1">
        <f t="array" ref="AA71">_xlfn.IFS(H71=1,0,H71=2,-1,H71=4,-2,H71=0.5,1,H71=0.25,2,H71=0,4)</f>
        <v>2</v>
      </c>
      <c r="AB71" s="24" cm="1">
        <f t="array" ref="AB71">_xlfn.IFS(I71=1,0,I71=2,-1,I71=4,-2,I71=0.5,1,I71=0.25,2,I71=0,4)</f>
        <v>1</v>
      </c>
      <c r="AC71" s="24" cm="1">
        <f t="array" ref="AC71">_xlfn.IFS(J71=1,0,J71=2,-1,J71=4,-2,J71=0.5,1,J71=0.25,2,J71=0,4)</f>
        <v>0</v>
      </c>
      <c r="AD71" s="24" cm="1">
        <f t="array" ref="AD71">_xlfn.IFS(K71=1,0,K71=2,-1,K71=4,-2,K71=0.5,1,K71=0.25,2,K71=0,4)</f>
        <v>-1</v>
      </c>
      <c r="AE71" s="24" cm="1">
        <f t="array" ref="AE71">_xlfn.IFS(L71=1,0,L71=2,-1,L71=4,-2,L71=0.5,1,L71=0.25,2,L71=0,4)</f>
        <v>1</v>
      </c>
      <c r="AF71" s="24" cm="1">
        <f t="array" ref="AF71">_xlfn.IFS(M71=1,0,M71=2,-1,M71=4,-2,M71=0.5,1,M71=0.25,2,M71=0,4)</f>
        <v>4</v>
      </c>
      <c r="AG71" s="24" cm="1">
        <f t="array" ref="AG71">_xlfn.IFS(N71=1,0,N71=2,-1,N71=4,-2,N71=0.5,1,N71=0.25,2,N71=0,4)</f>
        <v>-1</v>
      </c>
      <c r="AH71" s="24" cm="1">
        <f t="array" ref="AH71">_xlfn.IFS(O71=1,0,O71=2,-1,O71=4,-2,O71=0.5,1,O71=0.25,2,O71=0,4)</f>
        <v>-1</v>
      </c>
      <c r="AI71" s="24" cm="1">
        <f t="array" ref="AI71">_xlfn.IFS(P71=1,0,P71=2,-1,P71=4,-2,P71=0.5,1,P71=0.25,2,P71=0,4)</f>
        <v>0</v>
      </c>
      <c r="AJ71" s="24" cm="1">
        <f t="array" ref="AJ71">_xlfn.IFS(Q71=1,0,Q71=2,-1,Q71=4,-2,Q71=0.5,1,Q71=0.25,2,Q71=0,4)</f>
        <v>0</v>
      </c>
    </row>
    <row r="72" spans="1:36" x14ac:dyDescent="0.2">
      <c r="A72" s="22" t="s">
        <v>6</v>
      </c>
      <c r="B72" s="22" t="s">
        <v>8</v>
      </c>
      <c r="C72" s="24">
        <f>INDEX(Output!$B$3:$P$17,MATCH('Defensive Summary'!C$1,Output!$A$3:$A$17,0),MATCH('Defensive Summary'!$A72,Output!$B$2:$P$2,0))*INDEX(Output!$B$3:$P$17,MATCH('Defensive Summary'!C$1,Output!$A$3:$A$17,0),MATCH('Defensive Summary'!$B72,Output!$B$2:$P$2,0))</f>
        <v>1</v>
      </c>
      <c r="D72" s="24">
        <f>INDEX(Output!$B$3:$P$17,MATCH('Defensive Summary'!D$1,Output!$A$3:$A$17,0),MATCH('Defensive Summary'!$A72,Output!$B$2:$P$2,0))*INDEX(Output!$B$3:$P$17,MATCH('Defensive Summary'!D$1,Output!$A$3:$A$17,0),MATCH('Defensive Summary'!$B72,Output!$B$2:$P$2,0))</f>
        <v>0.25</v>
      </c>
      <c r="E72" s="24">
        <f>INDEX(Output!$B$3:$P$17,MATCH('Defensive Summary'!E$1,Output!$A$3:$A$17,0),MATCH('Defensive Summary'!$A72,Output!$B$2:$P$2,0))*INDEX(Output!$B$3:$P$17,MATCH('Defensive Summary'!E$1,Output!$A$3:$A$17,0),MATCH('Defensive Summary'!$B72,Output!$B$2:$P$2,0))</f>
        <v>0.5</v>
      </c>
      <c r="F72" s="24">
        <f>INDEX(Output!$B$3:$P$17,MATCH('Defensive Summary'!F$1,Output!$A$3:$A$17,0),MATCH('Defensive Summary'!$A72,Output!$B$2:$P$2,0))*INDEX(Output!$B$3:$P$17,MATCH('Defensive Summary'!F$1,Output!$A$3:$A$17,0),MATCH('Defensive Summary'!$B72,Output!$B$2:$P$2,0))</f>
        <v>0.25</v>
      </c>
      <c r="G72" s="24">
        <f>INDEX(Output!$B$3:$P$17,MATCH('Defensive Summary'!G$1,Output!$A$3:$A$17,0),MATCH('Defensive Summary'!$A72,Output!$B$2:$P$2,0))*INDEX(Output!$B$3:$P$17,MATCH('Defensive Summary'!G$1,Output!$A$3:$A$17,0),MATCH('Defensive Summary'!$B72,Output!$B$2:$P$2,0))</f>
        <v>4</v>
      </c>
      <c r="H72" s="24">
        <f>INDEX(Output!$B$3:$P$17,MATCH('Defensive Summary'!H$1,Output!$A$3:$A$17,0),MATCH('Defensive Summary'!$A72,Output!$B$2:$P$2,0))*INDEX(Output!$B$3:$P$17,MATCH('Defensive Summary'!H$1,Output!$A$3:$A$17,0),MATCH('Defensive Summary'!$B72,Output!$B$2:$P$2,0))</f>
        <v>1</v>
      </c>
      <c r="I72" s="24">
        <f>INDEX(Output!$B$3:$P$17,MATCH('Defensive Summary'!I$1,Output!$A$3:$A$17,0),MATCH('Defensive Summary'!$A72,Output!$B$2:$P$2,0))*INDEX(Output!$B$3:$P$17,MATCH('Defensive Summary'!I$1,Output!$A$3:$A$17,0),MATCH('Defensive Summary'!$B72,Output!$B$2:$P$2,0))</f>
        <v>0.5</v>
      </c>
      <c r="J72" s="24">
        <f>INDEX(Output!$B$3:$P$17,MATCH('Defensive Summary'!J$1,Output!$A$3:$A$17,0),MATCH('Defensive Summary'!$A72,Output!$B$2:$P$2,0))*INDEX(Output!$B$3:$P$17,MATCH('Defensive Summary'!J$1,Output!$A$3:$A$17,0),MATCH('Defensive Summary'!$B72,Output!$B$2:$P$2,0))</f>
        <v>0</v>
      </c>
      <c r="K72" s="24">
        <f>INDEX(Output!$B$3:$P$17,MATCH('Defensive Summary'!K$1,Output!$A$3:$A$17,0),MATCH('Defensive Summary'!$A72,Output!$B$2:$P$2,0))*INDEX(Output!$B$3:$P$17,MATCH('Defensive Summary'!K$1,Output!$A$3:$A$17,0),MATCH('Defensive Summary'!$B72,Output!$B$2:$P$2,0))</f>
        <v>1</v>
      </c>
      <c r="L72" s="24">
        <f>INDEX(Output!$B$3:$P$17,MATCH('Defensive Summary'!L$1,Output!$A$3:$A$17,0),MATCH('Defensive Summary'!$A72,Output!$B$2:$P$2,0))*INDEX(Output!$B$3:$P$17,MATCH('Defensive Summary'!L$1,Output!$A$3:$A$17,0),MATCH('Defensive Summary'!$B72,Output!$B$2:$P$2,0))</f>
        <v>2</v>
      </c>
      <c r="M72" s="24">
        <f>INDEX(Output!$B$3:$P$17,MATCH('Defensive Summary'!M$1,Output!$A$3:$A$17,0),MATCH('Defensive Summary'!$A72,Output!$B$2:$P$2,0))*INDEX(Output!$B$3:$P$17,MATCH('Defensive Summary'!M$1,Output!$A$3:$A$17,0),MATCH('Defensive Summary'!$B72,Output!$B$2:$P$2,0))</f>
        <v>0.25</v>
      </c>
      <c r="N72" s="24">
        <f>INDEX(Output!$B$3:$P$17,MATCH('Defensive Summary'!N$1,Output!$A$3:$A$17,0),MATCH('Defensive Summary'!$A72,Output!$B$2:$P$2,0))*INDEX(Output!$B$3:$P$17,MATCH('Defensive Summary'!N$1,Output!$A$3:$A$17,0),MATCH('Defensive Summary'!$B72,Output!$B$2:$P$2,0))</f>
        <v>1</v>
      </c>
      <c r="O72" s="24">
        <f>INDEX(Output!$B$3:$P$17,MATCH('Defensive Summary'!O$1,Output!$A$3:$A$17,0),MATCH('Defensive Summary'!$A72,Output!$B$2:$P$2,0))*INDEX(Output!$B$3:$P$17,MATCH('Defensive Summary'!O$1,Output!$A$3:$A$17,0),MATCH('Defensive Summary'!$B72,Output!$B$2:$P$2,0))</f>
        <v>1</v>
      </c>
      <c r="P72" s="24">
        <f>INDEX(Output!$B$3:$P$17,MATCH('Defensive Summary'!P$1,Output!$A$3:$A$17,0),MATCH('Defensive Summary'!$A72,Output!$B$2:$P$2,0))*INDEX(Output!$B$3:$P$17,MATCH('Defensive Summary'!P$1,Output!$A$3:$A$17,0),MATCH('Defensive Summary'!$B72,Output!$B$2:$P$2,0))</f>
        <v>0.25</v>
      </c>
      <c r="Q72" s="24">
        <f>INDEX(Output!$B$3:$P$17,MATCH('Defensive Summary'!Q$1,Output!$A$3:$A$17,0),MATCH('Defensive Summary'!$A72,Output!$B$2:$P$2,0))*INDEX(Output!$B$3:$P$17,MATCH('Defensive Summary'!Q$1,Output!$A$3:$A$17,0),MATCH('Defensive Summary'!$B72,Output!$B$2:$P$2,0))</f>
        <v>1</v>
      </c>
      <c r="R72" s="24"/>
      <c r="S72" s="25">
        <f t="shared" si="1"/>
        <v>11</v>
      </c>
      <c r="T72" s="22" t="s">
        <v>6</v>
      </c>
      <c r="U72" s="22" t="s">
        <v>8</v>
      </c>
      <c r="V72" s="24" cm="1">
        <f t="array" ref="V72">_xlfn.IFS(C72=1,0,C72=2,-1,C72=4,-2,C72=0.5,1,C72=0.25,2,C72=0,4)</f>
        <v>0</v>
      </c>
      <c r="W72" s="24" cm="1">
        <f t="array" ref="W72">_xlfn.IFS(D72=1,0,D72=2,-1,D72=4,-2,D72=0.5,1,D72=0.25,2,D72=0,4)</f>
        <v>2</v>
      </c>
      <c r="X72" s="24" cm="1">
        <f t="array" ref="X72">_xlfn.IFS(E72=1,0,E72=2,-1,E72=4,-2,E72=0.5,1,E72=0.25,2,E72=0,4)</f>
        <v>1</v>
      </c>
      <c r="Y72" s="24" cm="1">
        <f t="array" ref="Y72">_xlfn.IFS(F72=1,0,F72=2,-1,F72=4,-2,F72=0.5,1,F72=0.25,2,F72=0,4)</f>
        <v>2</v>
      </c>
      <c r="Z72" s="24" cm="1">
        <f t="array" ref="Z72">_xlfn.IFS(G72=1,0,G72=2,-1,G72=4,-2,G72=0.5,1,G72=0.25,2,G72=0,4)</f>
        <v>-2</v>
      </c>
      <c r="AA72" s="24" cm="1">
        <f t="array" ref="AA72">_xlfn.IFS(H72=1,0,H72=2,-1,H72=4,-2,H72=0.5,1,H72=0.25,2,H72=0,4)</f>
        <v>0</v>
      </c>
      <c r="AB72" s="24" cm="1">
        <f t="array" ref="AB72">_xlfn.IFS(I72=1,0,I72=2,-1,I72=4,-2,I72=0.5,1,I72=0.25,2,I72=0,4)</f>
        <v>1</v>
      </c>
      <c r="AC72" s="24" cm="1">
        <f t="array" ref="AC72">_xlfn.IFS(J72=1,0,J72=2,-1,J72=4,-2,J72=0.5,1,J72=0.25,2,J72=0,4)</f>
        <v>4</v>
      </c>
      <c r="AD72" s="24" cm="1">
        <f t="array" ref="AD72">_xlfn.IFS(K72=1,0,K72=2,-1,K72=4,-2,K72=0.5,1,K72=0.25,2,K72=0,4)</f>
        <v>0</v>
      </c>
      <c r="AE72" s="24" cm="1">
        <f t="array" ref="AE72">_xlfn.IFS(L72=1,0,L72=2,-1,L72=4,-2,L72=0.5,1,L72=0.25,2,L72=0,4)</f>
        <v>-1</v>
      </c>
      <c r="AF72" s="24" cm="1">
        <f t="array" ref="AF72">_xlfn.IFS(M72=1,0,M72=2,-1,M72=4,-2,M72=0.5,1,M72=0.25,2,M72=0,4)</f>
        <v>2</v>
      </c>
      <c r="AG72" s="24" cm="1">
        <f t="array" ref="AG72">_xlfn.IFS(N72=1,0,N72=2,-1,N72=4,-2,N72=0.5,1,N72=0.25,2,N72=0,4)</f>
        <v>0</v>
      </c>
      <c r="AH72" s="24" cm="1">
        <f t="array" ref="AH72">_xlfn.IFS(O72=1,0,O72=2,-1,O72=4,-2,O72=0.5,1,O72=0.25,2,O72=0,4)</f>
        <v>0</v>
      </c>
      <c r="AI72" s="24" cm="1">
        <f t="array" ref="AI72">_xlfn.IFS(P72=1,0,P72=2,-1,P72=4,-2,P72=0.5,1,P72=0.25,2,P72=0,4)</f>
        <v>2</v>
      </c>
      <c r="AJ72" s="24" cm="1">
        <f t="array" ref="AJ72">_xlfn.IFS(Q72=1,0,Q72=2,-1,Q72=4,-2,Q72=0.5,1,Q72=0.25,2,Q72=0,4)</f>
        <v>0</v>
      </c>
    </row>
    <row r="73" spans="1:36" x14ac:dyDescent="0.2">
      <c r="A73" s="22" t="s">
        <v>6</v>
      </c>
      <c r="B73" s="22" t="s">
        <v>9</v>
      </c>
      <c r="C73" s="24">
        <f>INDEX(Output!$B$3:$P$17,MATCH('Defensive Summary'!C$1,Output!$A$3:$A$17,0),MATCH('Defensive Summary'!$A73,Output!$B$2:$P$2,0))*INDEX(Output!$B$3:$P$17,MATCH('Defensive Summary'!C$1,Output!$A$3:$A$17,0),MATCH('Defensive Summary'!$B73,Output!$B$2:$P$2,0))</f>
        <v>2</v>
      </c>
      <c r="D73" s="24">
        <f>INDEX(Output!$B$3:$P$17,MATCH('Defensive Summary'!D$1,Output!$A$3:$A$17,0),MATCH('Defensive Summary'!$A73,Output!$B$2:$P$2,0))*INDEX(Output!$B$3:$P$17,MATCH('Defensive Summary'!D$1,Output!$A$3:$A$17,0),MATCH('Defensive Summary'!$B73,Output!$B$2:$P$2,0))</f>
        <v>0.5</v>
      </c>
      <c r="E73" s="24">
        <f>INDEX(Output!$B$3:$P$17,MATCH('Defensive Summary'!E$1,Output!$A$3:$A$17,0),MATCH('Defensive Summary'!$A73,Output!$B$2:$P$2,0))*INDEX(Output!$B$3:$P$17,MATCH('Defensive Summary'!E$1,Output!$A$3:$A$17,0),MATCH('Defensive Summary'!$B73,Output!$B$2:$P$2,0))</f>
        <v>0.5</v>
      </c>
      <c r="F73" s="24">
        <f>INDEX(Output!$B$3:$P$17,MATCH('Defensive Summary'!F$1,Output!$A$3:$A$17,0),MATCH('Defensive Summary'!$A73,Output!$B$2:$P$2,0))*INDEX(Output!$B$3:$P$17,MATCH('Defensive Summary'!F$1,Output!$A$3:$A$17,0),MATCH('Defensive Summary'!$B73,Output!$B$2:$P$2,0))</f>
        <v>0.5</v>
      </c>
      <c r="G73" s="24">
        <f>INDEX(Output!$B$3:$P$17,MATCH('Defensive Summary'!G$1,Output!$A$3:$A$17,0),MATCH('Defensive Summary'!$A73,Output!$B$2:$P$2,0))*INDEX(Output!$B$3:$P$17,MATCH('Defensive Summary'!G$1,Output!$A$3:$A$17,0),MATCH('Defensive Summary'!$B73,Output!$B$2:$P$2,0))</f>
        <v>2</v>
      </c>
      <c r="H73" s="24">
        <f>INDEX(Output!$B$3:$P$17,MATCH('Defensive Summary'!H$1,Output!$A$3:$A$17,0),MATCH('Defensive Summary'!$A73,Output!$B$2:$P$2,0))*INDEX(Output!$B$3:$P$17,MATCH('Defensive Summary'!H$1,Output!$A$3:$A$17,0),MATCH('Defensive Summary'!$B73,Output!$B$2:$P$2,0))</f>
        <v>0.5</v>
      </c>
      <c r="I73" s="24">
        <f>INDEX(Output!$B$3:$P$17,MATCH('Defensive Summary'!I$1,Output!$A$3:$A$17,0),MATCH('Defensive Summary'!$A73,Output!$B$2:$P$2,0))*INDEX(Output!$B$3:$P$17,MATCH('Defensive Summary'!I$1,Output!$A$3:$A$17,0),MATCH('Defensive Summary'!$B73,Output!$B$2:$P$2,0))</f>
        <v>0.5</v>
      </c>
      <c r="J73" s="24">
        <f>INDEX(Output!$B$3:$P$17,MATCH('Defensive Summary'!J$1,Output!$A$3:$A$17,0),MATCH('Defensive Summary'!$A73,Output!$B$2:$P$2,0))*INDEX(Output!$B$3:$P$17,MATCH('Defensive Summary'!J$1,Output!$A$3:$A$17,0),MATCH('Defensive Summary'!$B73,Output!$B$2:$P$2,0))</f>
        <v>0.5</v>
      </c>
      <c r="K73" s="24">
        <f>INDEX(Output!$B$3:$P$17,MATCH('Defensive Summary'!K$1,Output!$A$3:$A$17,0),MATCH('Defensive Summary'!$A73,Output!$B$2:$P$2,0))*INDEX(Output!$B$3:$P$17,MATCH('Defensive Summary'!K$1,Output!$A$3:$A$17,0),MATCH('Defensive Summary'!$B73,Output!$B$2:$P$2,0))</f>
        <v>0</v>
      </c>
      <c r="L73" s="24">
        <f>INDEX(Output!$B$3:$P$17,MATCH('Defensive Summary'!L$1,Output!$A$3:$A$17,0),MATCH('Defensive Summary'!$A73,Output!$B$2:$P$2,0))*INDEX(Output!$B$3:$P$17,MATCH('Defensive Summary'!L$1,Output!$A$3:$A$17,0),MATCH('Defensive Summary'!$B73,Output!$B$2:$P$2,0))</f>
        <v>1</v>
      </c>
      <c r="M73" s="24">
        <f>INDEX(Output!$B$3:$P$17,MATCH('Defensive Summary'!M$1,Output!$A$3:$A$17,0),MATCH('Defensive Summary'!$A73,Output!$B$2:$P$2,0))*INDEX(Output!$B$3:$P$17,MATCH('Defensive Summary'!M$1,Output!$A$3:$A$17,0),MATCH('Defensive Summary'!$B73,Output!$B$2:$P$2,0))</f>
        <v>1</v>
      </c>
      <c r="N73" s="24">
        <f>INDEX(Output!$B$3:$P$17,MATCH('Defensive Summary'!N$1,Output!$A$3:$A$17,0),MATCH('Defensive Summary'!$A73,Output!$B$2:$P$2,0))*INDEX(Output!$B$3:$P$17,MATCH('Defensive Summary'!N$1,Output!$A$3:$A$17,0),MATCH('Defensive Summary'!$B73,Output!$B$2:$P$2,0))</f>
        <v>1</v>
      </c>
      <c r="O73" s="24">
        <f>INDEX(Output!$B$3:$P$17,MATCH('Defensive Summary'!O$1,Output!$A$3:$A$17,0),MATCH('Defensive Summary'!$A73,Output!$B$2:$P$2,0))*INDEX(Output!$B$3:$P$17,MATCH('Defensive Summary'!O$1,Output!$A$3:$A$17,0),MATCH('Defensive Summary'!$B73,Output!$B$2:$P$2,0))</f>
        <v>0.5</v>
      </c>
      <c r="P73" s="24">
        <f>INDEX(Output!$B$3:$P$17,MATCH('Defensive Summary'!P$1,Output!$A$3:$A$17,0),MATCH('Defensive Summary'!$A73,Output!$B$2:$P$2,0))*INDEX(Output!$B$3:$P$17,MATCH('Defensive Summary'!P$1,Output!$A$3:$A$17,0),MATCH('Defensive Summary'!$B73,Output!$B$2:$P$2,0))</f>
        <v>1</v>
      </c>
      <c r="Q73" s="24">
        <f>INDEX(Output!$B$3:$P$17,MATCH('Defensive Summary'!Q$1,Output!$A$3:$A$17,0),MATCH('Defensive Summary'!$A73,Output!$B$2:$P$2,0))*INDEX(Output!$B$3:$P$17,MATCH('Defensive Summary'!Q$1,Output!$A$3:$A$17,0),MATCH('Defensive Summary'!$B73,Output!$B$2:$P$2,0))</f>
        <v>1</v>
      </c>
      <c r="R73" s="24"/>
      <c r="S73" s="25">
        <f t="shared" si="1"/>
        <v>9</v>
      </c>
      <c r="T73" s="22" t="s">
        <v>6</v>
      </c>
      <c r="U73" s="22" t="s">
        <v>9</v>
      </c>
      <c r="V73" s="24" cm="1">
        <f t="array" ref="V73">_xlfn.IFS(C73=1,0,C73=2,-1,C73=4,-2,C73=0.5,1,C73=0.25,2,C73=0,4)</f>
        <v>-1</v>
      </c>
      <c r="W73" s="24" cm="1">
        <f t="array" ref="W73">_xlfn.IFS(D73=1,0,D73=2,-1,D73=4,-2,D73=0.5,1,D73=0.25,2,D73=0,4)</f>
        <v>1</v>
      </c>
      <c r="X73" s="24" cm="1">
        <f t="array" ref="X73">_xlfn.IFS(E73=1,0,E73=2,-1,E73=4,-2,E73=0.5,1,E73=0.25,2,E73=0,4)</f>
        <v>1</v>
      </c>
      <c r="Y73" s="24" cm="1">
        <f t="array" ref="Y73">_xlfn.IFS(F73=1,0,F73=2,-1,F73=4,-2,F73=0.5,1,F73=0.25,2,F73=0,4)</f>
        <v>1</v>
      </c>
      <c r="Z73" s="24" cm="1">
        <f t="array" ref="Z73">_xlfn.IFS(G73=1,0,G73=2,-1,G73=4,-2,G73=0.5,1,G73=0.25,2,G73=0,4)</f>
        <v>-1</v>
      </c>
      <c r="AA73" s="24" cm="1">
        <f t="array" ref="AA73">_xlfn.IFS(H73=1,0,H73=2,-1,H73=4,-2,H73=0.5,1,H73=0.25,2,H73=0,4)</f>
        <v>1</v>
      </c>
      <c r="AB73" s="24" cm="1">
        <f t="array" ref="AB73">_xlfn.IFS(I73=1,0,I73=2,-1,I73=4,-2,I73=0.5,1,I73=0.25,2,I73=0,4)</f>
        <v>1</v>
      </c>
      <c r="AC73" s="24" cm="1">
        <f t="array" ref="AC73">_xlfn.IFS(J73=1,0,J73=2,-1,J73=4,-2,J73=0.5,1,J73=0.25,2,J73=0,4)</f>
        <v>1</v>
      </c>
      <c r="AD73" s="24" cm="1">
        <f t="array" ref="AD73">_xlfn.IFS(K73=1,0,K73=2,-1,K73=4,-2,K73=0.5,1,K73=0.25,2,K73=0,4)</f>
        <v>4</v>
      </c>
      <c r="AE73" s="24" cm="1">
        <f t="array" ref="AE73">_xlfn.IFS(L73=1,0,L73=2,-1,L73=4,-2,L73=0.5,1,L73=0.25,2,L73=0,4)</f>
        <v>0</v>
      </c>
      <c r="AF73" s="24" cm="1">
        <f t="array" ref="AF73">_xlfn.IFS(M73=1,0,M73=2,-1,M73=4,-2,M73=0.5,1,M73=0.25,2,M73=0,4)</f>
        <v>0</v>
      </c>
      <c r="AG73" s="24" cm="1">
        <f t="array" ref="AG73">_xlfn.IFS(N73=1,0,N73=2,-1,N73=4,-2,N73=0.5,1,N73=0.25,2,N73=0,4)</f>
        <v>0</v>
      </c>
      <c r="AH73" s="24" cm="1">
        <f t="array" ref="AH73">_xlfn.IFS(O73=1,0,O73=2,-1,O73=4,-2,O73=0.5,1,O73=0.25,2,O73=0,4)</f>
        <v>1</v>
      </c>
      <c r="AI73" s="24" cm="1">
        <f t="array" ref="AI73">_xlfn.IFS(P73=1,0,P73=2,-1,P73=4,-2,P73=0.5,1,P73=0.25,2,P73=0,4)</f>
        <v>0</v>
      </c>
      <c r="AJ73" s="24" cm="1">
        <f t="array" ref="AJ73">_xlfn.IFS(Q73=1,0,Q73=2,-1,Q73=4,-2,Q73=0.5,1,Q73=0.25,2,Q73=0,4)</f>
        <v>0</v>
      </c>
    </row>
    <row r="74" spans="1:36" x14ac:dyDescent="0.2">
      <c r="A74" s="22" t="s">
        <v>6</v>
      </c>
      <c r="B74" s="22" t="s">
        <v>10</v>
      </c>
      <c r="C74" s="24">
        <f>INDEX(Output!$B$3:$P$17,MATCH('Defensive Summary'!C$1,Output!$A$3:$A$17,0),MATCH('Defensive Summary'!$A74,Output!$B$2:$P$2,0))*INDEX(Output!$B$3:$P$17,MATCH('Defensive Summary'!C$1,Output!$A$3:$A$17,0),MATCH('Defensive Summary'!$B74,Output!$B$2:$P$2,0))</f>
        <v>4</v>
      </c>
      <c r="D74" s="24">
        <f>INDEX(Output!$B$3:$P$17,MATCH('Defensive Summary'!D$1,Output!$A$3:$A$17,0),MATCH('Defensive Summary'!$A74,Output!$B$2:$P$2,0))*INDEX(Output!$B$3:$P$17,MATCH('Defensive Summary'!D$1,Output!$A$3:$A$17,0),MATCH('Defensive Summary'!$B74,Output!$B$2:$P$2,0))</f>
        <v>0.5</v>
      </c>
      <c r="E74" s="24">
        <f>INDEX(Output!$B$3:$P$17,MATCH('Defensive Summary'!E$1,Output!$A$3:$A$17,0),MATCH('Defensive Summary'!$A74,Output!$B$2:$P$2,0))*INDEX(Output!$B$3:$P$17,MATCH('Defensive Summary'!E$1,Output!$A$3:$A$17,0),MATCH('Defensive Summary'!$B74,Output!$B$2:$P$2,0))</f>
        <v>0.25</v>
      </c>
      <c r="F74" s="24">
        <f>INDEX(Output!$B$3:$P$17,MATCH('Defensive Summary'!F$1,Output!$A$3:$A$17,0),MATCH('Defensive Summary'!$A74,Output!$B$2:$P$2,0))*INDEX(Output!$B$3:$P$17,MATCH('Defensive Summary'!F$1,Output!$A$3:$A$17,0),MATCH('Defensive Summary'!$B74,Output!$B$2:$P$2,0))</f>
        <v>0.5</v>
      </c>
      <c r="G74" s="24">
        <f>INDEX(Output!$B$3:$P$17,MATCH('Defensive Summary'!G$1,Output!$A$3:$A$17,0),MATCH('Defensive Summary'!$A74,Output!$B$2:$P$2,0))*INDEX(Output!$B$3:$P$17,MATCH('Defensive Summary'!G$1,Output!$A$3:$A$17,0),MATCH('Defensive Summary'!$B74,Output!$B$2:$P$2,0))</f>
        <v>4</v>
      </c>
      <c r="H74" s="24">
        <f>INDEX(Output!$B$3:$P$17,MATCH('Defensive Summary'!H$1,Output!$A$3:$A$17,0),MATCH('Defensive Summary'!$A74,Output!$B$2:$P$2,0))*INDEX(Output!$B$3:$P$17,MATCH('Defensive Summary'!H$1,Output!$A$3:$A$17,0),MATCH('Defensive Summary'!$B74,Output!$B$2:$P$2,0))</f>
        <v>1</v>
      </c>
      <c r="I74" s="24">
        <f>INDEX(Output!$B$3:$P$17,MATCH('Defensive Summary'!I$1,Output!$A$3:$A$17,0),MATCH('Defensive Summary'!$A74,Output!$B$2:$P$2,0))*INDEX(Output!$B$3:$P$17,MATCH('Defensive Summary'!I$1,Output!$A$3:$A$17,0),MATCH('Defensive Summary'!$B74,Output!$B$2:$P$2,0))</f>
        <v>0.25</v>
      </c>
      <c r="J74" s="24">
        <f>INDEX(Output!$B$3:$P$17,MATCH('Defensive Summary'!J$1,Output!$A$3:$A$17,0),MATCH('Defensive Summary'!$A74,Output!$B$2:$P$2,0))*INDEX(Output!$B$3:$P$17,MATCH('Defensive Summary'!J$1,Output!$A$3:$A$17,0),MATCH('Defensive Summary'!$B74,Output!$B$2:$P$2,0))</f>
        <v>2</v>
      </c>
      <c r="K74" s="24">
        <f>INDEX(Output!$B$3:$P$17,MATCH('Defensive Summary'!K$1,Output!$A$3:$A$17,0),MATCH('Defensive Summary'!$A74,Output!$B$2:$P$2,0))*INDEX(Output!$B$3:$P$17,MATCH('Defensive Summary'!K$1,Output!$A$3:$A$17,0),MATCH('Defensive Summary'!$B74,Output!$B$2:$P$2,0))</f>
        <v>0.5</v>
      </c>
      <c r="L74" s="24">
        <f>INDEX(Output!$B$3:$P$17,MATCH('Defensive Summary'!L$1,Output!$A$3:$A$17,0),MATCH('Defensive Summary'!$A74,Output!$B$2:$P$2,0))*INDEX(Output!$B$3:$P$17,MATCH('Defensive Summary'!L$1,Output!$A$3:$A$17,0),MATCH('Defensive Summary'!$B74,Output!$B$2:$P$2,0))</f>
        <v>0</v>
      </c>
      <c r="M74" s="24">
        <f>INDEX(Output!$B$3:$P$17,MATCH('Defensive Summary'!M$1,Output!$A$3:$A$17,0),MATCH('Defensive Summary'!$A74,Output!$B$2:$P$2,0))*INDEX(Output!$B$3:$P$17,MATCH('Defensive Summary'!M$1,Output!$A$3:$A$17,0),MATCH('Defensive Summary'!$B74,Output!$B$2:$P$2,0))</f>
        <v>0.5</v>
      </c>
      <c r="N74" s="24">
        <f>INDEX(Output!$B$3:$P$17,MATCH('Defensive Summary'!N$1,Output!$A$3:$A$17,0),MATCH('Defensive Summary'!$A74,Output!$B$2:$P$2,0))*INDEX(Output!$B$3:$P$17,MATCH('Defensive Summary'!N$1,Output!$A$3:$A$17,0),MATCH('Defensive Summary'!$B74,Output!$B$2:$P$2,0))</f>
        <v>0.5</v>
      </c>
      <c r="O74" s="24">
        <f>INDEX(Output!$B$3:$P$17,MATCH('Defensive Summary'!O$1,Output!$A$3:$A$17,0),MATCH('Defensive Summary'!$A74,Output!$B$2:$P$2,0))*INDEX(Output!$B$3:$P$17,MATCH('Defensive Summary'!O$1,Output!$A$3:$A$17,0),MATCH('Defensive Summary'!$B74,Output!$B$2:$P$2,0))</f>
        <v>0.5</v>
      </c>
      <c r="P74" s="24">
        <f>INDEX(Output!$B$3:$P$17,MATCH('Defensive Summary'!P$1,Output!$A$3:$A$17,0),MATCH('Defensive Summary'!$A74,Output!$B$2:$P$2,0))*INDEX(Output!$B$3:$P$17,MATCH('Defensive Summary'!P$1,Output!$A$3:$A$17,0),MATCH('Defensive Summary'!$B74,Output!$B$2:$P$2,0))</f>
        <v>0.5</v>
      </c>
      <c r="Q74" s="24">
        <f>INDEX(Output!$B$3:$P$17,MATCH('Defensive Summary'!Q$1,Output!$A$3:$A$17,0),MATCH('Defensive Summary'!$A74,Output!$B$2:$P$2,0))*INDEX(Output!$B$3:$P$17,MATCH('Defensive Summary'!Q$1,Output!$A$3:$A$17,0),MATCH('Defensive Summary'!$B74,Output!$B$2:$P$2,0))</f>
        <v>1</v>
      </c>
      <c r="R74" s="24"/>
      <c r="S74" s="25">
        <f t="shared" si="1"/>
        <v>10</v>
      </c>
      <c r="T74" s="22" t="s">
        <v>6</v>
      </c>
      <c r="U74" s="22" t="s">
        <v>10</v>
      </c>
      <c r="V74" s="24" cm="1">
        <f t="array" ref="V74">_xlfn.IFS(C74=1,0,C74=2,-1,C74=4,-2,C74=0.5,1,C74=0.25,2,C74=0,4)</f>
        <v>-2</v>
      </c>
      <c r="W74" s="24" cm="1">
        <f t="array" ref="W74">_xlfn.IFS(D74=1,0,D74=2,-1,D74=4,-2,D74=0.5,1,D74=0.25,2,D74=0,4)</f>
        <v>1</v>
      </c>
      <c r="X74" s="24" cm="1">
        <f t="array" ref="X74">_xlfn.IFS(E74=1,0,E74=2,-1,E74=4,-2,E74=0.5,1,E74=0.25,2,E74=0,4)</f>
        <v>2</v>
      </c>
      <c r="Y74" s="24" cm="1">
        <f t="array" ref="Y74">_xlfn.IFS(F74=1,0,F74=2,-1,F74=4,-2,F74=0.5,1,F74=0.25,2,F74=0,4)</f>
        <v>1</v>
      </c>
      <c r="Z74" s="24" cm="1">
        <f t="array" ref="Z74">_xlfn.IFS(G74=1,0,G74=2,-1,G74=4,-2,G74=0.5,1,G74=0.25,2,G74=0,4)</f>
        <v>-2</v>
      </c>
      <c r="AA74" s="24" cm="1">
        <f t="array" ref="AA74">_xlfn.IFS(H74=1,0,H74=2,-1,H74=4,-2,H74=0.5,1,H74=0.25,2,H74=0,4)</f>
        <v>0</v>
      </c>
      <c r="AB74" s="24" cm="1">
        <f t="array" ref="AB74">_xlfn.IFS(I74=1,0,I74=2,-1,I74=4,-2,I74=0.5,1,I74=0.25,2,I74=0,4)</f>
        <v>2</v>
      </c>
      <c r="AC74" s="24" cm="1">
        <f t="array" ref="AC74">_xlfn.IFS(J74=1,0,J74=2,-1,J74=4,-2,J74=0.5,1,J74=0.25,2,J74=0,4)</f>
        <v>-1</v>
      </c>
      <c r="AD74" s="24" cm="1">
        <f t="array" ref="AD74">_xlfn.IFS(K74=1,0,K74=2,-1,K74=4,-2,K74=0.5,1,K74=0.25,2,K74=0,4)</f>
        <v>1</v>
      </c>
      <c r="AE74" s="24" cm="1">
        <f t="array" ref="AE74">_xlfn.IFS(L74=1,0,L74=2,-1,L74=4,-2,L74=0.5,1,L74=0.25,2,L74=0,4)</f>
        <v>4</v>
      </c>
      <c r="AF74" s="24" cm="1">
        <f t="array" ref="AF74">_xlfn.IFS(M74=1,0,M74=2,-1,M74=4,-2,M74=0.5,1,M74=0.25,2,M74=0,4)</f>
        <v>1</v>
      </c>
      <c r="AG74" s="24" cm="1">
        <f t="array" ref="AG74">_xlfn.IFS(N74=1,0,N74=2,-1,N74=4,-2,N74=0.5,1,N74=0.25,2,N74=0,4)</f>
        <v>1</v>
      </c>
      <c r="AH74" s="24" cm="1">
        <f t="array" ref="AH74">_xlfn.IFS(O74=1,0,O74=2,-1,O74=4,-2,O74=0.5,1,O74=0.25,2,O74=0,4)</f>
        <v>1</v>
      </c>
      <c r="AI74" s="24" cm="1">
        <f t="array" ref="AI74">_xlfn.IFS(P74=1,0,P74=2,-1,P74=4,-2,P74=0.5,1,P74=0.25,2,P74=0,4)</f>
        <v>1</v>
      </c>
      <c r="AJ74" s="24" cm="1">
        <f t="array" ref="AJ74">_xlfn.IFS(Q74=1,0,Q74=2,-1,Q74=4,-2,Q74=0.5,1,Q74=0.25,2,Q74=0,4)</f>
        <v>0</v>
      </c>
    </row>
    <row r="75" spans="1:36" x14ac:dyDescent="0.2">
      <c r="A75" s="22" t="s">
        <v>6</v>
      </c>
      <c r="B75" s="22" t="s">
        <v>11</v>
      </c>
      <c r="C75" s="24">
        <f>INDEX(Output!$B$3:$P$17,MATCH('Defensive Summary'!C$1,Output!$A$3:$A$17,0),MATCH('Defensive Summary'!$A75,Output!$B$2:$P$2,0))*INDEX(Output!$B$3:$P$17,MATCH('Defensive Summary'!C$1,Output!$A$3:$A$17,0),MATCH('Defensive Summary'!$B75,Output!$B$2:$P$2,0))</f>
        <v>2</v>
      </c>
      <c r="D75" s="24">
        <f>INDEX(Output!$B$3:$P$17,MATCH('Defensive Summary'!D$1,Output!$A$3:$A$17,0),MATCH('Defensive Summary'!$A75,Output!$B$2:$P$2,0))*INDEX(Output!$B$3:$P$17,MATCH('Defensive Summary'!D$1,Output!$A$3:$A$17,0),MATCH('Defensive Summary'!$B75,Output!$B$2:$P$2,0))</f>
        <v>0.5</v>
      </c>
      <c r="E75" s="24">
        <f>INDEX(Output!$B$3:$P$17,MATCH('Defensive Summary'!E$1,Output!$A$3:$A$17,0),MATCH('Defensive Summary'!$A75,Output!$B$2:$P$2,0))*INDEX(Output!$B$3:$P$17,MATCH('Defensive Summary'!E$1,Output!$A$3:$A$17,0),MATCH('Defensive Summary'!$B75,Output!$B$2:$P$2,0))</f>
        <v>0.5</v>
      </c>
      <c r="F75" s="24">
        <f>INDEX(Output!$B$3:$P$17,MATCH('Defensive Summary'!F$1,Output!$A$3:$A$17,0),MATCH('Defensive Summary'!$A75,Output!$B$2:$P$2,0))*INDEX(Output!$B$3:$P$17,MATCH('Defensive Summary'!F$1,Output!$A$3:$A$17,0),MATCH('Defensive Summary'!$B75,Output!$B$2:$P$2,0))</f>
        <v>0.5</v>
      </c>
      <c r="G75" s="24">
        <f>INDEX(Output!$B$3:$P$17,MATCH('Defensive Summary'!G$1,Output!$A$3:$A$17,0),MATCH('Defensive Summary'!$A75,Output!$B$2:$P$2,0))*INDEX(Output!$B$3:$P$17,MATCH('Defensive Summary'!G$1,Output!$A$3:$A$17,0),MATCH('Defensive Summary'!$B75,Output!$B$2:$P$2,0))</f>
        <v>2</v>
      </c>
      <c r="H75" s="24">
        <f>INDEX(Output!$B$3:$P$17,MATCH('Defensive Summary'!H$1,Output!$A$3:$A$17,0),MATCH('Defensive Summary'!$A75,Output!$B$2:$P$2,0))*INDEX(Output!$B$3:$P$17,MATCH('Defensive Summary'!H$1,Output!$A$3:$A$17,0),MATCH('Defensive Summary'!$B75,Output!$B$2:$P$2,0))</f>
        <v>0.5</v>
      </c>
      <c r="I75" s="24">
        <f>INDEX(Output!$B$3:$P$17,MATCH('Defensive Summary'!I$1,Output!$A$3:$A$17,0),MATCH('Defensive Summary'!$A75,Output!$B$2:$P$2,0))*INDEX(Output!$B$3:$P$17,MATCH('Defensive Summary'!I$1,Output!$A$3:$A$17,0),MATCH('Defensive Summary'!$B75,Output!$B$2:$P$2,0))</f>
        <v>0.25</v>
      </c>
      <c r="J75" s="24">
        <f>INDEX(Output!$B$3:$P$17,MATCH('Defensive Summary'!J$1,Output!$A$3:$A$17,0),MATCH('Defensive Summary'!$A75,Output!$B$2:$P$2,0))*INDEX(Output!$B$3:$P$17,MATCH('Defensive Summary'!J$1,Output!$A$3:$A$17,0),MATCH('Defensive Summary'!$B75,Output!$B$2:$P$2,0))</f>
        <v>1</v>
      </c>
      <c r="K75" s="24">
        <f>INDEX(Output!$B$3:$P$17,MATCH('Defensive Summary'!K$1,Output!$A$3:$A$17,0),MATCH('Defensive Summary'!$A75,Output!$B$2:$P$2,0))*INDEX(Output!$B$3:$P$17,MATCH('Defensive Summary'!K$1,Output!$A$3:$A$17,0),MATCH('Defensive Summary'!$B75,Output!$B$2:$P$2,0))</f>
        <v>1</v>
      </c>
      <c r="L75" s="24">
        <f>INDEX(Output!$B$3:$P$17,MATCH('Defensive Summary'!L$1,Output!$A$3:$A$17,0),MATCH('Defensive Summary'!$A75,Output!$B$2:$P$2,0))*INDEX(Output!$B$3:$P$17,MATCH('Defensive Summary'!L$1,Output!$A$3:$A$17,0),MATCH('Defensive Summary'!$B75,Output!$B$2:$P$2,0))</f>
        <v>1</v>
      </c>
      <c r="M75" s="24">
        <f>INDEX(Output!$B$3:$P$17,MATCH('Defensive Summary'!M$1,Output!$A$3:$A$17,0),MATCH('Defensive Summary'!$A75,Output!$B$2:$P$2,0))*INDEX(Output!$B$3:$P$17,MATCH('Defensive Summary'!M$1,Output!$A$3:$A$17,0),MATCH('Defensive Summary'!$B75,Output!$B$2:$P$2,0))</f>
        <v>0.5</v>
      </c>
      <c r="N75" s="24">
        <f>INDEX(Output!$B$3:$P$17,MATCH('Defensive Summary'!N$1,Output!$A$3:$A$17,0),MATCH('Defensive Summary'!$A75,Output!$B$2:$P$2,0))*INDEX(Output!$B$3:$P$17,MATCH('Defensive Summary'!N$1,Output!$A$3:$A$17,0),MATCH('Defensive Summary'!$B75,Output!$B$2:$P$2,0))</f>
        <v>0.5</v>
      </c>
      <c r="O75" s="24">
        <f>INDEX(Output!$B$3:$P$17,MATCH('Defensive Summary'!O$1,Output!$A$3:$A$17,0),MATCH('Defensive Summary'!$A75,Output!$B$2:$P$2,0))*INDEX(Output!$B$3:$P$17,MATCH('Defensive Summary'!O$1,Output!$A$3:$A$17,0),MATCH('Defensive Summary'!$B75,Output!$B$2:$P$2,0))</f>
        <v>2</v>
      </c>
      <c r="P75" s="24">
        <f>INDEX(Output!$B$3:$P$17,MATCH('Defensive Summary'!P$1,Output!$A$3:$A$17,0),MATCH('Defensive Summary'!$A75,Output!$B$2:$P$2,0))*INDEX(Output!$B$3:$P$17,MATCH('Defensive Summary'!P$1,Output!$A$3:$A$17,0),MATCH('Defensive Summary'!$B75,Output!$B$2:$P$2,0))</f>
        <v>0.25</v>
      </c>
      <c r="Q75" s="24">
        <f>INDEX(Output!$B$3:$P$17,MATCH('Defensive Summary'!Q$1,Output!$A$3:$A$17,0),MATCH('Defensive Summary'!$A75,Output!$B$2:$P$2,0))*INDEX(Output!$B$3:$P$17,MATCH('Defensive Summary'!Q$1,Output!$A$3:$A$17,0),MATCH('Defensive Summary'!$B75,Output!$B$2:$P$2,0))</f>
        <v>1</v>
      </c>
      <c r="R75" s="24"/>
      <c r="S75" s="25">
        <f t="shared" si="1"/>
        <v>7</v>
      </c>
      <c r="T75" s="22" t="s">
        <v>6</v>
      </c>
      <c r="U75" s="22" t="s">
        <v>11</v>
      </c>
      <c r="V75" s="24" cm="1">
        <f t="array" ref="V75">_xlfn.IFS(C75=1,0,C75=2,-1,C75=4,-2,C75=0.5,1,C75=0.25,2,C75=0,4)</f>
        <v>-1</v>
      </c>
      <c r="W75" s="24" cm="1">
        <f t="array" ref="W75">_xlfn.IFS(D75=1,0,D75=2,-1,D75=4,-2,D75=0.5,1,D75=0.25,2,D75=0,4)</f>
        <v>1</v>
      </c>
      <c r="X75" s="24" cm="1">
        <f t="array" ref="X75">_xlfn.IFS(E75=1,0,E75=2,-1,E75=4,-2,E75=0.5,1,E75=0.25,2,E75=0,4)</f>
        <v>1</v>
      </c>
      <c r="Y75" s="24" cm="1">
        <f t="array" ref="Y75">_xlfn.IFS(F75=1,0,F75=2,-1,F75=4,-2,F75=0.5,1,F75=0.25,2,F75=0,4)</f>
        <v>1</v>
      </c>
      <c r="Z75" s="24" cm="1">
        <f t="array" ref="Z75">_xlfn.IFS(G75=1,0,G75=2,-1,G75=4,-2,G75=0.5,1,G75=0.25,2,G75=0,4)</f>
        <v>-1</v>
      </c>
      <c r="AA75" s="24" cm="1">
        <f t="array" ref="AA75">_xlfn.IFS(H75=1,0,H75=2,-1,H75=4,-2,H75=0.5,1,H75=0.25,2,H75=0,4)</f>
        <v>1</v>
      </c>
      <c r="AB75" s="24" cm="1">
        <f t="array" ref="AB75">_xlfn.IFS(I75=1,0,I75=2,-1,I75=4,-2,I75=0.5,1,I75=0.25,2,I75=0,4)</f>
        <v>2</v>
      </c>
      <c r="AC75" s="24" cm="1">
        <f t="array" ref="AC75">_xlfn.IFS(J75=1,0,J75=2,-1,J75=4,-2,J75=0.5,1,J75=0.25,2,J75=0,4)</f>
        <v>0</v>
      </c>
      <c r="AD75" s="24" cm="1">
        <f t="array" ref="AD75">_xlfn.IFS(K75=1,0,K75=2,-1,K75=4,-2,K75=0.5,1,K75=0.25,2,K75=0,4)</f>
        <v>0</v>
      </c>
      <c r="AE75" s="24" cm="1">
        <f t="array" ref="AE75">_xlfn.IFS(L75=1,0,L75=2,-1,L75=4,-2,L75=0.5,1,L75=0.25,2,L75=0,4)</f>
        <v>0</v>
      </c>
      <c r="AF75" s="24" cm="1">
        <f t="array" ref="AF75">_xlfn.IFS(M75=1,0,M75=2,-1,M75=4,-2,M75=0.5,1,M75=0.25,2,M75=0,4)</f>
        <v>1</v>
      </c>
      <c r="AG75" s="24" cm="1">
        <f t="array" ref="AG75">_xlfn.IFS(N75=1,0,N75=2,-1,N75=4,-2,N75=0.5,1,N75=0.25,2,N75=0,4)</f>
        <v>1</v>
      </c>
      <c r="AH75" s="24" cm="1">
        <f t="array" ref="AH75">_xlfn.IFS(O75=1,0,O75=2,-1,O75=4,-2,O75=0.5,1,O75=0.25,2,O75=0,4)</f>
        <v>-1</v>
      </c>
      <c r="AI75" s="24" cm="1">
        <f t="array" ref="AI75">_xlfn.IFS(P75=1,0,P75=2,-1,P75=4,-2,P75=0.5,1,P75=0.25,2,P75=0,4)</f>
        <v>2</v>
      </c>
      <c r="AJ75" s="24" cm="1">
        <f t="array" ref="AJ75">_xlfn.IFS(Q75=1,0,Q75=2,-1,Q75=4,-2,Q75=0.5,1,Q75=0.25,2,Q75=0,4)</f>
        <v>0</v>
      </c>
    </row>
    <row r="76" spans="1:36" x14ac:dyDescent="0.2">
      <c r="A76" s="22" t="s">
        <v>6</v>
      </c>
      <c r="B76" s="22" t="s">
        <v>12</v>
      </c>
      <c r="C76" s="24">
        <f>INDEX(Output!$B$3:$P$17,MATCH('Defensive Summary'!C$1,Output!$A$3:$A$17,0),MATCH('Defensive Summary'!$A76,Output!$B$2:$P$2,0))*INDEX(Output!$B$3:$P$17,MATCH('Defensive Summary'!C$1,Output!$A$3:$A$17,0),MATCH('Defensive Summary'!$B76,Output!$B$2:$P$2,0))</f>
        <v>4</v>
      </c>
      <c r="D76" s="24">
        <f>INDEX(Output!$B$3:$P$17,MATCH('Defensive Summary'!D$1,Output!$A$3:$A$17,0),MATCH('Defensive Summary'!$A76,Output!$B$2:$P$2,0))*INDEX(Output!$B$3:$P$17,MATCH('Defensive Summary'!D$1,Output!$A$3:$A$17,0),MATCH('Defensive Summary'!$B76,Output!$B$2:$P$2,0))</f>
        <v>1</v>
      </c>
      <c r="E76" s="24">
        <f>INDEX(Output!$B$3:$P$17,MATCH('Defensive Summary'!E$1,Output!$A$3:$A$17,0),MATCH('Defensive Summary'!$A76,Output!$B$2:$P$2,0))*INDEX(Output!$B$3:$P$17,MATCH('Defensive Summary'!E$1,Output!$A$3:$A$17,0),MATCH('Defensive Summary'!$B76,Output!$B$2:$P$2,0))</f>
        <v>1</v>
      </c>
      <c r="F76" s="24">
        <f>INDEX(Output!$B$3:$P$17,MATCH('Defensive Summary'!F$1,Output!$A$3:$A$17,0),MATCH('Defensive Summary'!$A76,Output!$B$2:$P$2,0))*INDEX(Output!$B$3:$P$17,MATCH('Defensive Summary'!F$1,Output!$A$3:$A$17,0),MATCH('Defensive Summary'!$B76,Output!$B$2:$P$2,0))</f>
        <v>0.5</v>
      </c>
      <c r="G76" s="24">
        <f>INDEX(Output!$B$3:$P$17,MATCH('Defensive Summary'!G$1,Output!$A$3:$A$17,0),MATCH('Defensive Summary'!$A76,Output!$B$2:$P$2,0))*INDEX(Output!$B$3:$P$17,MATCH('Defensive Summary'!G$1,Output!$A$3:$A$17,0),MATCH('Defensive Summary'!$B76,Output!$B$2:$P$2,0))</f>
        <v>1</v>
      </c>
      <c r="H76" s="24">
        <f>INDEX(Output!$B$3:$P$17,MATCH('Defensive Summary'!H$1,Output!$A$3:$A$17,0),MATCH('Defensive Summary'!$A76,Output!$B$2:$P$2,0))*INDEX(Output!$B$3:$P$17,MATCH('Defensive Summary'!H$1,Output!$A$3:$A$17,0),MATCH('Defensive Summary'!$B76,Output!$B$2:$P$2,0))</f>
        <v>1</v>
      </c>
      <c r="I76" s="24">
        <f>INDEX(Output!$B$3:$P$17,MATCH('Defensive Summary'!I$1,Output!$A$3:$A$17,0),MATCH('Defensive Summary'!$A76,Output!$B$2:$P$2,0))*INDEX(Output!$B$3:$P$17,MATCH('Defensive Summary'!I$1,Output!$A$3:$A$17,0),MATCH('Defensive Summary'!$B76,Output!$B$2:$P$2,0))</f>
        <v>1</v>
      </c>
      <c r="J76" s="24">
        <f>INDEX(Output!$B$3:$P$17,MATCH('Defensive Summary'!J$1,Output!$A$3:$A$17,0),MATCH('Defensive Summary'!$A76,Output!$B$2:$P$2,0))*INDEX(Output!$B$3:$P$17,MATCH('Defensive Summary'!J$1,Output!$A$3:$A$17,0),MATCH('Defensive Summary'!$B76,Output!$B$2:$P$2,0))</f>
        <v>0.5</v>
      </c>
      <c r="K76" s="24">
        <f>INDEX(Output!$B$3:$P$17,MATCH('Defensive Summary'!K$1,Output!$A$3:$A$17,0),MATCH('Defensive Summary'!$A76,Output!$B$2:$P$2,0))*INDEX(Output!$B$3:$P$17,MATCH('Defensive Summary'!K$1,Output!$A$3:$A$17,0),MATCH('Defensive Summary'!$B76,Output!$B$2:$P$2,0))</f>
        <v>1</v>
      </c>
      <c r="L76" s="24">
        <f>INDEX(Output!$B$3:$P$17,MATCH('Defensive Summary'!L$1,Output!$A$3:$A$17,0),MATCH('Defensive Summary'!$A76,Output!$B$2:$P$2,0))*INDEX(Output!$B$3:$P$17,MATCH('Defensive Summary'!L$1,Output!$A$3:$A$17,0),MATCH('Defensive Summary'!$B76,Output!$B$2:$P$2,0))</f>
        <v>2</v>
      </c>
      <c r="M76" s="24">
        <f>INDEX(Output!$B$3:$P$17,MATCH('Defensive Summary'!M$1,Output!$A$3:$A$17,0),MATCH('Defensive Summary'!$A76,Output!$B$2:$P$2,0))*INDEX(Output!$B$3:$P$17,MATCH('Defensive Summary'!M$1,Output!$A$3:$A$17,0),MATCH('Defensive Summary'!$B76,Output!$B$2:$P$2,0))</f>
        <v>0.5</v>
      </c>
      <c r="N76" s="24">
        <f>INDEX(Output!$B$3:$P$17,MATCH('Defensive Summary'!N$1,Output!$A$3:$A$17,0),MATCH('Defensive Summary'!$A76,Output!$B$2:$P$2,0))*INDEX(Output!$B$3:$P$17,MATCH('Defensive Summary'!N$1,Output!$A$3:$A$17,0),MATCH('Defensive Summary'!$B76,Output!$B$2:$P$2,0))</f>
        <v>0</v>
      </c>
      <c r="O76" s="24">
        <f>INDEX(Output!$B$3:$P$17,MATCH('Defensive Summary'!O$1,Output!$A$3:$A$17,0),MATCH('Defensive Summary'!$A76,Output!$B$2:$P$2,0))*INDEX(Output!$B$3:$P$17,MATCH('Defensive Summary'!O$1,Output!$A$3:$A$17,0),MATCH('Defensive Summary'!$B76,Output!$B$2:$P$2,0))</f>
        <v>0.5</v>
      </c>
      <c r="P76" s="24">
        <f>INDEX(Output!$B$3:$P$17,MATCH('Defensive Summary'!P$1,Output!$A$3:$A$17,0),MATCH('Defensive Summary'!$A76,Output!$B$2:$P$2,0))*INDEX(Output!$B$3:$P$17,MATCH('Defensive Summary'!P$1,Output!$A$3:$A$17,0),MATCH('Defensive Summary'!$B76,Output!$B$2:$P$2,0))</f>
        <v>0</v>
      </c>
      <c r="Q76" s="24">
        <f>INDEX(Output!$B$3:$P$17,MATCH('Defensive Summary'!Q$1,Output!$A$3:$A$17,0),MATCH('Defensive Summary'!$A76,Output!$B$2:$P$2,0))*INDEX(Output!$B$3:$P$17,MATCH('Defensive Summary'!Q$1,Output!$A$3:$A$17,0),MATCH('Defensive Summary'!$B76,Output!$B$2:$P$2,0))</f>
        <v>1</v>
      </c>
      <c r="R76" s="24"/>
      <c r="S76" s="25">
        <f t="shared" si="1"/>
        <v>9</v>
      </c>
      <c r="T76" s="22" t="s">
        <v>6</v>
      </c>
      <c r="U76" s="22" t="s">
        <v>12</v>
      </c>
      <c r="V76" s="24" cm="1">
        <f t="array" ref="V76">_xlfn.IFS(C76=1,0,C76=2,-1,C76=4,-2,C76=0.5,1,C76=0.25,2,C76=0,4)</f>
        <v>-2</v>
      </c>
      <c r="W76" s="24" cm="1">
        <f t="array" ref="W76">_xlfn.IFS(D76=1,0,D76=2,-1,D76=4,-2,D76=0.5,1,D76=0.25,2,D76=0,4)</f>
        <v>0</v>
      </c>
      <c r="X76" s="24" cm="1">
        <f t="array" ref="X76">_xlfn.IFS(E76=1,0,E76=2,-1,E76=4,-2,E76=0.5,1,E76=0.25,2,E76=0,4)</f>
        <v>0</v>
      </c>
      <c r="Y76" s="24" cm="1">
        <f t="array" ref="Y76">_xlfn.IFS(F76=1,0,F76=2,-1,F76=4,-2,F76=0.5,1,F76=0.25,2,F76=0,4)</f>
        <v>1</v>
      </c>
      <c r="Z76" s="24" cm="1">
        <f t="array" ref="Z76">_xlfn.IFS(G76=1,0,G76=2,-1,G76=4,-2,G76=0.5,1,G76=0.25,2,G76=0,4)</f>
        <v>0</v>
      </c>
      <c r="AA76" s="24" cm="1">
        <f t="array" ref="AA76">_xlfn.IFS(H76=1,0,H76=2,-1,H76=4,-2,H76=0.5,1,H76=0.25,2,H76=0,4)</f>
        <v>0</v>
      </c>
      <c r="AB76" s="24" cm="1">
        <f t="array" ref="AB76">_xlfn.IFS(I76=1,0,I76=2,-1,I76=4,-2,I76=0.5,1,I76=0.25,2,I76=0,4)</f>
        <v>0</v>
      </c>
      <c r="AC76" s="24" cm="1">
        <f t="array" ref="AC76">_xlfn.IFS(J76=1,0,J76=2,-1,J76=4,-2,J76=0.5,1,J76=0.25,2,J76=0,4)</f>
        <v>1</v>
      </c>
      <c r="AD76" s="24" cm="1">
        <f t="array" ref="AD76">_xlfn.IFS(K76=1,0,K76=2,-1,K76=4,-2,K76=0.5,1,K76=0.25,2,K76=0,4)</f>
        <v>0</v>
      </c>
      <c r="AE76" s="24" cm="1">
        <f t="array" ref="AE76">_xlfn.IFS(L76=1,0,L76=2,-1,L76=4,-2,L76=0.5,1,L76=0.25,2,L76=0,4)</f>
        <v>-1</v>
      </c>
      <c r="AF76" s="24" cm="1">
        <f t="array" ref="AF76">_xlfn.IFS(M76=1,0,M76=2,-1,M76=4,-2,M76=0.5,1,M76=0.25,2,M76=0,4)</f>
        <v>1</v>
      </c>
      <c r="AG76" s="24" cm="1">
        <f t="array" ref="AG76">_xlfn.IFS(N76=1,0,N76=2,-1,N76=4,-2,N76=0.5,1,N76=0.25,2,N76=0,4)</f>
        <v>4</v>
      </c>
      <c r="AH76" s="24" cm="1">
        <f t="array" ref="AH76">_xlfn.IFS(O76=1,0,O76=2,-1,O76=4,-2,O76=0.5,1,O76=0.25,2,O76=0,4)</f>
        <v>1</v>
      </c>
      <c r="AI76" s="24" cm="1">
        <f t="array" ref="AI76">_xlfn.IFS(P76=1,0,P76=2,-1,P76=4,-2,P76=0.5,1,P76=0.25,2,P76=0,4)</f>
        <v>4</v>
      </c>
      <c r="AJ76" s="24" cm="1">
        <f t="array" ref="AJ76">_xlfn.IFS(Q76=1,0,Q76=2,-1,Q76=4,-2,Q76=0.5,1,Q76=0.25,2,Q76=0,4)</f>
        <v>0</v>
      </c>
    </row>
    <row r="77" spans="1:36" x14ac:dyDescent="0.2">
      <c r="A77" s="22" t="s">
        <v>6</v>
      </c>
      <c r="B77" s="22" t="s">
        <v>13</v>
      </c>
      <c r="C77" s="24">
        <f>INDEX(Output!$B$3:$P$17,MATCH('Defensive Summary'!C$1,Output!$A$3:$A$17,0),MATCH('Defensive Summary'!$A77,Output!$B$2:$P$2,0))*INDEX(Output!$B$3:$P$17,MATCH('Defensive Summary'!C$1,Output!$A$3:$A$17,0),MATCH('Defensive Summary'!$B77,Output!$B$2:$P$2,0))</f>
        <v>2</v>
      </c>
      <c r="D77" s="24">
        <f>INDEX(Output!$B$3:$P$17,MATCH('Defensive Summary'!D$1,Output!$A$3:$A$17,0),MATCH('Defensive Summary'!$A77,Output!$B$2:$P$2,0))*INDEX(Output!$B$3:$P$17,MATCH('Defensive Summary'!D$1,Output!$A$3:$A$17,0),MATCH('Defensive Summary'!$B77,Output!$B$2:$P$2,0))</f>
        <v>0.25</v>
      </c>
      <c r="E77" s="24">
        <f>INDEX(Output!$B$3:$P$17,MATCH('Defensive Summary'!E$1,Output!$A$3:$A$17,0),MATCH('Defensive Summary'!$A77,Output!$B$2:$P$2,0))*INDEX(Output!$B$3:$P$17,MATCH('Defensive Summary'!E$1,Output!$A$3:$A$17,0),MATCH('Defensive Summary'!$B77,Output!$B$2:$P$2,0))</f>
        <v>0.5</v>
      </c>
      <c r="F77" s="24">
        <f>INDEX(Output!$B$3:$P$17,MATCH('Defensive Summary'!F$1,Output!$A$3:$A$17,0),MATCH('Defensive Summary'!$A77,Output!$B$2:$P$2,0))*INDEX(Output!$B$3:$P$17,MATCH('Defensive Summary'!F$1,Output!$A$3:$A$17,0),MATCH('Defensive Summary'!$B77,Output!$B$2:$P$2,0))</f>
        <v>0.5</v>
      </c>
      <c r="G77" s="24">
        <f>INDEX(Output!$B$3:$P$17,MATCH('Defensive Summary'!G$1,Output!$A$3:$A$17,0),MATCH('Defensive Summary'!$A77,Output!$B$2:$P$2,0))*INDEX(Output!$B$3:$P$17,MATCH('Defensive Summary'!G$1,Output!$A$3:$A$17,0),MATCH('Defensive Summary'!$B77,Output!$B$2:$P$2,0))</f>
        <v>2</v>
      </c>
      <c r="H77" s="24">
        <f>INDEX(Output!$B$3:$P$17,MATCH('Defensive Summary'!H$1,Output!$A$3:$A$17,0),MATCH('Defensive Summary'!$A77,Output!$B$2:$P$2,0))*INDEX(Output!$B$3:$P$17,MATCH('Defensive Summary'!H$1,Output!$A$3:$A$17,0),MATCH('Defensive Summary'!$B77,Output!$B$2:$P$2,0))</f>
        <v>0.25</v>
      </c>
      <c r="I77" s="24">
        <f>INDEX(Output!$B$3:$P$17,MATCH('Defensive Summary'!I$1,Output!$A$3:$A$17,0),MATCH('Defensive Summary'!$A77,Output!$B$2:$P$2,0))*INDEX(Output!$B$3:$P$17,MATCH('Defensive Summary'!I$1,Output!$A$3:$A$17,0),MATCH('Defensive Summary'!$B77,Output!$B$2:$P$2,0))</f>
        <v>0.25</v>
      </c>
      <c r="J77" s="24">
        <f>INDEX(Output!$B$3:$P$17,MATCH('Defensive Summary'!J$1,Output!$A$3:$A$17,0),MATCH('Defensive Summary'!$A77,Output!$B$2:$P$2,0))*INDEX(Output!$B$3:$P$17,MATCH('Defensive Summary'!J$1,Output!$A$3:$A$17,0),MATCH('Defensive Summary'!$B77,Output!$B$2:$P$2,0))</f>
        <v>1</v>
      </c>
      <c r="K77" s="24">
        <f>INDEX(Output!$B$3:$P$17,MATCH('Defensive Summary'!K$1,Output!$A$3:$A$17,0),MATCH('Defensive Summary'!$A77,Output!$B$2:$P$2,0))*INDEX(Output!$B$3:$P$17,MATCH('Defensive Summary'!K$1,Output!$A$3:$A$17,0),MATCH('Defensive Summary'!$B77,Output!$B$2:$P$2,0))</f>
        <v>2</v>
      </c>
      <c r="L77" s="24">
        <f>INDEX(Output!$B$3:$P$17,MATCH('Defensive Summary'!L$1,Output!$A$3:$A$17,0),MATCH('Defensive Summary'!$A77,Output!$B$2:$P$2,0))*INDEX(Output!$B$3:$P$17,MATCH('Defensive Summary'!L$1,Output!$A$3:$A$17,0),MATCH('Defensive Summary'!$B77,Output!$B$2:$P$2,0))</f>
        <v>1</v>
      </c>
      <c r="M77" s="24">
        <f>INDEX(Output!$B$3:$P$17,MATCH('Defensive Summary'!M$1,Output!$A$3:$A$17,0),MATCH('Defensive Summary'!$A77,Output!$B$2:$P$2,0))*INDEX(Output!$B$3:$P$17,MATCH('Defensive Summary'!M$1,Output!$A$3:$A$17,0),MATCH('Defensive Summary'!$B77,Output!$B$2:$P$2,0))</f>
        <v>0.25</v>
      </c>
      <c r="N77" s="24">
        <f>INDEX(Output!$B$3:$P$17,MATCH('Defensive Summary'!N$1,Output!$A$3:$A$17,0),MATCH('Defensive Summary'!$A77,Output!$B$2:$P$2,0))*INDEX(Output!$B$3:$P$17,MATCH('Defensive Summary'!N$1,Output!$A$3:$A$17,0),MATCH('Defensive Summary'!$B77,Output!$B$2:$P$2,0))</f>
        <v>0.5</v>
      </c>
      <c r="O77" s="24">
        <f>INDEX(Output!$B$3:$P$17,MATCH('Defensive Summary'!O$1,Output!$A$3:$A$17,0),MATCH('Defensive Summary'!$A77,Output!$B$2:$P$2,0))*INDEX(Output!$B$3:$P$17,MATCH('Defensive Summary'!O$1,Output!$A$3:$A$17,0),MATCH('Defensive Summary'!$B77,Output!$B$2:$P$2,0))</f>
        <v>2</v>
      </c>
      <c r="P77" s="24">
        <f>INDEX(Output!$B$3:$P$17,MATCH('Defensive Summary'!P$1,Output!$A$3:$A$17,0),MATCH('Defensive Summary'!$A77,Output!$B$2:$P$2,0))*INDEX(Output!$B$3:$P$17,MATCH('Defensive Summary'!P$1,Output!$A$3:$A$17,0),MATCH('Defensive Summary'!$B77,Output!$B$2:$P$2,0))</f>
        <v>0.25</v>
      </c>
      <c r="Q77" s="24">
        <f>INDEX(Output!$B$3:$P$17,MATCH('Defensive Summary'!Q$1,Output!$A$3:$A$17,0),MATCH('Defensive Summary'!$A77,Output!$B$2:$P$2,0))*INDEX(Output!$B$3:$P$17,MATCH('Defensive Summary'!Q$1,Output!$A$3:$A$17,0),MATCH('Defensive Summary'!$B77,Output!$B$2:$P$2,0))</f>
        <v>1</v>
      </c>
      <c r="R77" s="24"/>
      <c r="S77" s="25">
        <f t="shared" si="1"/>
        <v>9</v>
      </c>
      <c r="T77" s="22" t="s">
        <v>6</v>
      </c>
      <c r="U77" s="22" t="s">
        <v>13</v>
      </c>
      <c r="V77" s="24" cm="1">
        <f t="array" ref="V77">_xlfn.IFS(C77=1,0,C77=2,-1,C77=4,-2,C77=0.5,1,C77=0.25,2,C77=0,4)</f>
        <v>-1</v>
      </c>
      <c r="W77" s="24" cm="1">
        <f t="array" ref="W77">_xlfn.IFS(D77=1,0,D77=2,-1,D77=4,-2,D77=0.5,1,D77=0.25,2,D77=0,4)</f>
        <v>2</v>
      </c>
      <c r="X77" s="24" cm="1">
        <f t="array" ref="X77">_xlfn.IFS(E77=1,0,E77=2,-1,E77=4,-2,E77=0.5,1,E77=0.25,2,E77=0,4)</f>
        <v>1</v>
      </c>
      <c r="Y77" s="24" cm="1">
        <f t="array" ref="Y77">_xlfn.IFS(F77=1,0,F77=2,-1,F77=4,-2,F77=0.5,1,F77=0.25,2,F77=0,4)</f>
        <v>1</v>
      </c>
      <c r="Z77" s="24" cm="1">
        <f t="array" ref="Z77">_xlfn.IFS(G77=1,0,G77=2,-1,G77=4,-2,G77=0.5,1,G77=0.25,2,G77=0,4)</f>
        <v>-1</v>
      </c>
      <c r="AA77" s="24" cm="1">
        <f t="array" ref="AA77">_xlfn.IFS(H77=1,0,H77=2,-1,H77=4,-2,H77=0.5,1,H77=0.25,2,H77=0,4)</f>
        <v>2</v>
      </c>
      <c r="AB77" s="24" cm="1">
        <f t="array" ref="AB77">_xlfn.IFS(I77=1,0,I77=2,-1,I77=4,-2,I77=0.5,1,I77=0.25,2,I77=0,4)</f>
        <v>2</v>
      </c>
      <c r="AC77" s="24" cm="1">
        <f t="array" ref="AC77">_xlfn.IFS(J77=1,0,J77=2,-1,J77=4,-2,J77=0.5,1,J77=0.25,2,J77=0,4)</f>
        <v>0</v>
      </c>
      <c r="AD77" s="24" cm="1">
        <f t="array" ref="AD77">_xlfn.IFS(K77=1,0,K77=2,-1,K77=4,-2,K77=0.5,1,K77=0.25,2,K77=0,4)</f>
        <v>-1</v>
      </c>
      <c r="AE77" s="24" cm="1">
        <f t="array" ref="AE77">_xlfn.IFS(L77=1,0,L77=2,-1,L77=4,-2,L77=0.5,1,L77=0.25,2,L77=0,4)</f>
        <v>0</v>
      </c>
      <c r="AF77" s="24" cm="1">
        <f t="array" ref="AF77">_xlfn.IFS(M77=1,0,M77=2,-1,M77=4,-2,M77=0.5,1,M77=0.25,2,M77=0,4)</f>
        <v>2</v>
      </c>
      <c r="AG77" s="24" cm="1">
        <f t="array" ref="AG77">_xlfn.IFS(N77=1,0,N77=2,-1,N77=4,-2,N77=0.5,1,N77=0.25,2,N77=0,4)</f>
        <v>1</v>
      </c>
      <c r="AH77" s="24" cm="1">
        <f t="array" ref="AH77">_xlfn.IFS(O77=1,0,O77=2,-1,O77=4,-2,O77=0.5,1,O77=0.25,2,O77=0,4)</f>
        <v>-1</v>
      </c>
      <c r="AI77" s="24" cm="1">
        <f t="array" ref="AI77">_xlfn.IFS(P77=1,0,P77=2,-1,P77=4,-2,P77=0.5,1,P77=0.25,2,P77=0,4)</f>
        <v>2</v>
      </c>
      <c r="AJ77" s="24" cm="1">
        <f t="array" ref="AJ77">_xlfn.IFS(Q77=1,0,Q77=2,-1,Q77=4,-2,Q77=0.5,1,Q77=0.25,2,Q77=0,4)</f>
        <v>0</v>
      </c>
    </row>
    <row r="78" spans="1:36" x14ac:dyDescent="0.2">
      <c r="A78" s="22" t="s">
        <v>6</v>
      </c>
      <c r="B78" s="22" t="s">
        <v>14</v>
      </c>
      <c r="C78" s="24">
        <f>INDEX(Output!$B$3:$P$17,MATCH('Defensive Summary'!C$1,Output!$A$3:$A$17,0),MATCH('Defensive Summary'!$A78,Output!$B$2:$P$2,0))*INDEX(Output!$B$3:$P$17,MATCH('Defensive Summary'!C$1,Output!$A$3:$A$17,0),MATCH('Defensive Summary'!$B78,Output!$B$2:$P$2,0))</f>
        <v>2</v>
      </c>
      <c r="D78" s="24">
        <f>INDEX(Output!$B$3:$P$17,MATCH('Defensive Summary'!D$1,Output!$A$3:$A$17,0),MATCH('Defensive Summary'!$A78,Output!$B$2:$P$2,0))*INDEX(Output!$B$3:$P$17,MATCH('Defensive Summary'!D$1,Output!$A$3:$A$17,0),MATCH('Defensive Summary'!$B78,Output!$B$2:$P$2,0))</f>
        <v>0.5</v>
      </c>
      <c r="E78" s="24">
        <f>INDEX(Output!$B$3:$P$17,MATCH('Defensive Summary'!E$1,Output!$A$3:$A$17,0),MATCH('Defensive Summary'!$A78,Output!$B$2:$P$2,0))*INDEX(Output!$B$3:$P$17,MATCH('Defensive Summary'!E$1,Output!$A$3:$A$17,0),MATCH('Defensive Summary'!$B78,Output!$B$2:$P$2,0))</f>
        <v>0.5</v>
      </c>
      <c r="F78" s="24">
        <f>INDEX(Output!$B$3:$P$17,MATCH('Defensive Summary'!F$1,Output!$A$3:$A$17,0),MATCH('Defensive Summary'!$A78,Output!$B$2:$P$2,0))*INDEX(Output!$B$3:$P$17,MATCH('Defensive Summary'!F$1,Output!$A$3:$A$17,0),MATCH('Defensive Summary'!$B78,Output!$B$2:$P$2,0))</f>
        <v>0.5</v>
      </c>
      <c r="G78" s="24">
        <f>INDEX(Output!$B$3:$P$17,MATCH('Defensive Summary'!G$1,Output!$A$3:$A$17,0),MATCH('Defensive Summary'!$A78,Output!$B$2:$P$2,0))*INDEX(Output!$B$3:$P$17,MATCH('Defensive Summary'!G$1,Output!$A$3:$A$17,0),MATCH('Defensive Summary'!$B78,Output!$B$2:$P$2,0))</f>
        <v>2</v>
      </c>
      <c r="H78" s="24">
        <f>INDEX(Output!$B$3:$P$17,MATCH('Defensive Summary'!H$1,Output!$A$3:$A$17,0),MATCH('Defensive Summary'!$A78,Output!$B$2:$P$2,0))*INDEX(Output!$B$3:$P$17,MATCH('Defensive Summary'!H$1,Output!$A$3:$A$17,0),MATCH('Defensive Summary'!$B78,Output!$B$2:$P$2,0))</f>
        <v>0.5</v>
      </c>
      <c r="I78" s="24">
        <f>INDEX(Output!$B$3:$P$17,MATCH('Defensive Summary'!I$1,Output!$A$3:$A$17,0),MATCH('Defensive Summary'!$A78,Output!$B$2:$P$2,0))*INDEX(Output!$B$3:$P$17,MATCH('Defensive Summary'!I$1,Output!$A$3:$A$17,0),MATCH('Defensive Summary'!$B78,Output!$B$2:$P$2,0))</f>
        <v>0.5</v>
      </c>
      <c r="J78" s="24">
        <f>INDEX(Output!$B$3:$P$17,MATCH('Defensive Summary'!J$1,Output!$A$3:$A$17,0),MATCH('Defensive Summary'!$A78,Output!$B$2:$P$2,0))*INDEX(Output!$B$3:$P$17,MATCH('Defensive Summary'!J$1,Output!$A$3:$A$17,0),MATCH('Defensive Summary'!$B78,Output!$B$2:$P$2,0))</f>
        <v>1</v>
      </c>
      <c r="K78" s="24">
        <f>INDEX(Output!$B$3:$P$17,MATCH('Defensive Summary'!K$1,Output!$A$3:$A$17,0),MATCH('Defensive Summary'!$A78,Output!$B$2:$P$2,0))*INDEX(Output!$B$3:$P$17,MATCH('Defensive Summary'!K$1,Output!$A$3:$A$17,0),MATCH('Defensive Summary'!$B78,Output!$B$2:$P$2,0))</f>
        <v>1</v>
      </c>
      <c r="L78" s="24">
        <f>INDEX(Output!$B$3:$P$17,MATCH('Defensive Summary'!L$1,Output!$A$3:$A$17,0),MATCH('Defensive Summary'!$A78,Output!$B$2:$P$2,0))*INDEX(Output!$B$3:$P$17,MATCH('Defensive Summary'!L$1,Output!$A$3:$A$17,0),MATCH('Defensive Summary'!$B78,Output!$B$2:$P$2,0))</f>
        <v>1</v>
      </c>
      <c r="M78" s="24">
        <f>INDEX(Output!$B$3:$P$17,MATCH('Defensive Summary'!M$1,Output!$A$3:$A$17,0),MATCH('Defensive Summary'!$A78,Output!$B$2:$P$2,0))*INDEX(Output!$B$3:$P$17,MATCH('Defensive Summary'!M$1,Output!$A$3:$A$17,0),MATCH('Defensive Summary'!$B78,Output!$B$2:$P$2,0))</f>
        <v>0.5</v>
      </c>
      <c r="N78" s="24">
        <f>INDEX(Output!$B$3:$P$17,MATCH('Defensive Summary'!N$1,Output!$A$3:$A$17,0),MATCH('Defensive Summary'!$A78,Output!$B$2:$P$2,0))*INDEX(Output!$B$3:$P$17,MATCH('Defensive Summary'!N$1,Output!$A$3:$A$17,0),MATCH('Defensive Summary'!$B78,Output!$B$2:$P$2,0))</f>
        <v>1</v>
      </c>
      <c r="O78" s="24">
        <f>INDEX(Output!$B$3:$P$17,MATCH('Defensive Summary'!O$1,Output!$A$3:$A$17,0),MATCH('Defensive Summary'!$A78,Output!$B$2:$P$2,0))*INDEX(Output!$B$3:$P$17,MATCH('Defensive Summary'!O$1,Output!$A$3:$A$17,0),MATCH('Defensive Summary'!$B78,Output!$B$2:$P$2,0))</f>
        <v>1</v>
      </c>
      <c r="P78" s="24">
        <f>INDEX(Output!$B$3:$P$17,MATCH('Defensive Summary'!P$1,Output!$A$3:$A$17,0),MATCH('Defensive Summary'!$A78,Output!$B$2:$P$2,0))*INDEX(Output!$B$3:$P$17,MATCH('Defensive Summary'!P$1,Output!$A$3:$A$17,0),MATCH('Defensive Summary'!$B78,Output!$B$2:$P$2,0))</f>
        <v>0.5</v>
      </c>
      <c r="Q78" s="24">
        <f>INDEX(Output!$B$3:$P$17,MATCH('Defensive Summary'!Q$1,Output!$A$3:$A$17,0),MATCH('Defensive Summary'!$A78,Output!$B$2:$P$2,0))*INDEX(Output!$B$3:$P$17,MATCH('Defensive Summary'!Q$1,Output!$A$3:$A$17,0),MATCH('Defensive Summary'!$B78,Output!$B$2:$P$2,0))</f>
        <v>1</v>
      </c>
      <c r="R78" s="24"/>
      <c r="S78" s="25">
        <f t="shared" si="1"/>
        <v>5</v>
      </c>
      <c r="T78" s="22" t="s">
        <v>6</v>
      </c>
      <c r="U78" s="22" t="s">
        <v>14</v>
      </c>
      <c r="V78" s="24" cm="1">
        <f t="array" ref="V78">_xlfn.IFS(C78=1,0,C78=2,-1,C78=4,-2,C78=0.5,1,C78=0.25,2,C78=0,4)</f>
        <v>-1</v>
      </c>
      <c r="W78" s="24" cm="1">
        <f t="array" ref="W78">_xlfn.IFS(D78=1,0,D78=2,-1,D78=4,-2,D78=0.5,1,D78=0.25,2,D78=0,4)</f>
        <v>1</v>
      </c>
      <c r="X78" s="24" cm="1">
        <f t="array" ref="X78">_xlfn.IFS(E78=1,0,E78=2,-1,E78=4,-2,E78=0.5,1,E78=0.25,2,E78=0,4)</f>
        <v>1</v>
      </c>
      <c r="Y78" s="24" cm="1">
        <f t="array" ref="Y78">_xlfn.IFS(F78=1,0,F78=2,-1,F78=4,-2,F78=0.5,1,F78=0.25,2,F78=0,4)</f>
        <v>1</v>
      </c>
      <c r="Z78" s="24" cm="1">
        <f t="array" ref="Z78">_xlfn.IFS(G78=1,0,G78=2,-1,G78=4,-2,G78=0.5,1,G78=0.25,2,G78=0,4)</f>
        <v>-1</v>
      </c>
      <c r="AA78" s="24" cm="1">
        <f t="array" ref="AA78">_xlfn.IFS(H78=1,0,H78=2,-1,H78=4,-2,H78=0.5,1,H78=0.25,2,H78=0,4)</f>
        <v>1</v>
      </c>
      <c r="AB78" s="24" cm="1">
        <f t="array" ref="AB78">_xlfn.IFS(I78=1,0,I78=2,-1,I78=4,-2,I78=0.5,1,I78=0.25,2,I78=0,4)</f>
        <v>1</v>
      </c>
      <c r="AC78" s="24" cm="1">
        <f t="array" ref="AC78">_xlfn.IFS(J78=1,0,J78=2,-1,J78=4,-2,J78=0.5,1,J78=0.25,2,J78=0,4)</f>
        <v>0</v>
      </c>
      <c r="AD78" s="24" cm="1">
        <f t="array" ref="AD78">_xlfn.IFS(K78=1,0,K78=2,-1,K78=4,-2,K78=0.5,1,K78=0.25,2,K78=0,4)</f>
        <v>0</v>
      </c>
      <c r="AE78" s="24" cm="1">
        <f t="array" ref="AE78">_xlfn.IFS(L78=1,0,L78=2,-1,L78=4,-2,L78=0.5,1,L78=0.25,2,L78=0,4)</f>
        <v>0</v>
      </c>
      <c r="AF78" s="24" cm="1">
        <f t="array" ref="AF78">_xlfn.IFS(M78=1,0,M78=2,-1,M78=4,-2,M78=0.5,1,M78=0.25,2,M78=0,4)</f>
        <v>1</v>
      </c>
      <c r="AG78" s="24" cm="1">
        <f t="array" ref="AG78">_xlfn.IFS(N78=1,0,N78=2,-1,N78=4,-2,N78=0.5,1,N78=0.25,2,N78=0,4)</f>
        <v>0</v>
      </c>
      <c r="AH78" s="24" cm="1">
        <f t="array" ref="AH78">_xlfn.IFS(O78=1,0,O78=2,-1,O78=4,-2,O78=0.5,1,O78=0.25,2,O78=0,4)</f>
        <v>0</v>
      </c>
      <c r="AI78" s="24" cm="1">
        <f t="array" ref="AI78">_xlfn.IFS(P78=1,0,P78=2,-1,P78=4,-2,P78=0.5,1,P78=0.25,2,P78=0,4)</f>
        <v>1</v>
      </c>
      <c r="AJ78" s="24" cm="1">
        <f t="array" ref="AJ78">_xlfn.IFS(Q78=1,0,Q78=2,-1,Q78=4,-2,Q78=0.5,1,Q78=0.25,2,Q78=0,4)</f>
        <v>0</v>
      </c>
    </row>
    <row r="79" spans="1:36" x14ac:dyDescent="0.2">
      <c r="A79" s="22" t="s">
        <v>7</v>
      </c>
      <c r="B79" s="22" t="s">
        <v>8</v>
      </c>
      <c r="C79" s="24">
        <f>INDEX(Output!$B$3:$P$17,MATCH('Defensive Summary'!C$1,Output!$A$3:$A$17,0),MATCH('Defensive Summary'!$A79,Output!$B$2:$P$2,0))*INDEX(Output!$B$3:$P$17,MATCH('Defensive Summary'!C$1,Output!$A$3:$A$17,0),MATCH('Defensive Summary'!$B79,Output!$B$2:$P$2,0))</f>
        <v>0.5</v>
      </c>
      <c r="D79" s="24">
        <f>INDEX(Output!$B$3:$P$17,MATCH('Defensive Summary'!D$1,Output!$A$3:$A$17,0),MATCH('Defensive Summary'!$A79,Output!$B$2:$P$2,0))*INDEX(Output!$B$3:$P$17,MATCH('Defensive Summary'!D$1,Output!$A$3:$A$17,0),MATCH('Defensive Summary'!$B79,Output!$B$2:$P$2,0))</f>
        <v>0.5</v>
      </c>
      <c r="E79" s="24">
        <f>INDEX(Output!$B$3:$P$17,MATCH('Defensive Summary'!E$1,Output!$A$3:$A$17,0),MATCH('Defensive Summary'!$A79,Output!$B$2:$P$2,0))*INDEX(Output!$B$3:$P$17,MATCH('Defensive Summary'!E$1,Output!$A$3:$A$17,0),MATCH('Defensive Summary'!$B79,Output!$B$2:$P$2,0))</f>
        <v>1</v>
      </c>
      <c r="F79" s="24">
        <f>INDEX(Output!$B$3:$P$17,MATCH('Defensive Summary'!F$1,Output!$A$3:$A$17,0),MATCH('Defensive Summary'!$A79,Output!$B$2:$P$2,0))*INDEX(Output!$B$3:$P$17,MATCH('Defensive Summary'!F$1,Output!$A$3:$A$17,0),MATCH('Defensive Summary'!$B79,Output!$B$2:$P$2,0))</f>
        <v>0.25</v>
      </c>
      <c r="G79" s="24">
        <f>INDEX(Output!$B$3:$P$17,MATCH('Defensive Summary'!G$1,Output!$A$3:$A$17,0),MATCH('Defensive Summary'!$A79,Output!$B$2:$P$2,0))*INDEX(Output!$B$3:$P$17,MATCH('Defensive Summary'!G$1,Output!$A$3:$A$17,0),MATCH('Defensive Summary'!$B79,Output!$B$2:$P$2,0))</f>
        <v>2</v>
      </c>
      <c r="H79" s="24">
        <f>INDEX(Output!$B$3:$P$17,MATCH('Defensive Summary'!H$1,Output!$A$3:$A$17,0),MATCH('Defensive Summary'!$A79,Output!$B$2:$P$2,0))*INDEX(Output!$B$3:$P$17,MATCH('Defensive Summary'!H$1,Output!$A$3:$A$17,0),MATCH('Defensive Summary'!$B79,Output!$B$2:$P$2,0))</f>
        <v>1</v>
      </c>
      <c r="I79" s="24">
        <f>INDEX(Output!$B$3:$P$17,MATCH('Defensive Summary'!I$1,Output!$A$3:$A$17,0),MATCH('Defensive Summary'!$A79,Output!$B$2:$P$2,0))*INDEX(Output!$B$3:$P$17,MATCH('Defensive Summary'!I$1,Output!$A$3:$A$17,0),MATCH('Defensive Summary'!$B79,Output!$B$2:$P$2,0))</f>
        <v>1</v>
      </c>
      <c r="J79" s="24">
        <f>INDEX(Output!$B$3:$P$17,MATCH('Defensive Summary'!J$1,Output!$A$3:$A$17,0),MATCH('Defensive Summary'!$A79,Output!$B$2:$P$2,0))*INDEX(Output!$B$3:$P$17,MATCH('Defensive Summary'!J$1,Output!$A$3:$A$17,0),MATCH('Defensive Summary'!$B79,Output!$B$2:$P$2,0))</f>
        <v>0</v>
      </c>
      <c r="K79" s="24">
        <f>INDEX(Output!$B$3:$P$17,MATCH('Defensive Summary'!K$1,Output!$A$3:$A$17,0),MATCH('Defensive Summary'!$A79,Output!$B$2:$P$2,0))*INDEX(Output!$B$3:$P$17,MATCH('Defensive Summary'!K$1,Output!$A$3:$A$17,0),MATCH('Defensive Summary'!$B79,Output!$B$2:$P$2,0))</f>
        <v>2</v>
      </c>
      <c r="L79" s="24">
        <f>INDEX(Output!$B$3:$P$17,MATCH('Defensive Summary'!L$1,Output!$A$3:$A$17,0),MATCH('Defensive Summary'!$A79,Output!$B$2:$P$2,0))*INDEX(Output!$B$3:$P$17,MATCH('Defensive Summary'!L$1,Output!$A$3:$A$17,0),MATCH('Defensive Summary'!$B79,Output!$B$2:$P$2,0))</f>
        <v>1</v>
      </c>
      <c r="M79" s="24">
        <f>INDEX(Output!$B$3:$P$17,MATCH('Defensive Summary'!M$1,Output!$A$3:$A$17,0),MATCH('Defensive Summary'!$A79,Output!$B$2:$P$2,0))*INDEX(Output!$B$3:$P$17,MATCH('Defensive Summary'!M$1,Output!$A$3:$A$17,0),MATCH('Defensive Summary'!$B79,Output!$B$2:$P$2,0))</f>
        <v>0</v>
      </c>
      <c r="N79" s="24">
        <f>INDEX(Output!$B$3:$P$17,MATCH('Defensive Summary'!N$1,Output!$A$3:$A$17,0),MATCH('Defensive Summary'!$A79,Output!$B$2:$P$2,0))*INDEX(Output!$B$3:$P$17,MATCH('Defensive Summary'!N$1,Output!$A$3:$A$17,0),MATCH('Defensive Summary'!$B79,Output!$B$2:$P$2,0))</f>
        <v>2</v>
      </c>
      <c r="O79" s="24">
        <f>INDEX(Output!$B$3:$P$17,MATCH('Defensive Summary'!O$1,Output!$A$3:$A$17,0),MATCH('Defensive Summary'!$A79,Output!$B$2:$P$2,0))*INDEX(Output!$B$3:$P$17,MATCH('Defensive Summary'!O$1,Output!$A$3:$A$17,0),MATCH('Defensive Summary'!$B79,Output!$B$2:$P$2,0))</f>
        <v>2</v>
      </c>
      <c r="P79" s="24">
        <f>INDEX(Output!$B$3:$P$17,MATCH('Defensive Summary'!P$1,Output!$A$3:$A$17,0),MATCH('Defensive Summary'!$A79,Output!$B$2:$P$2,0))*INDEX(Output!$B$3:$P$17,MATCH('Defensive Summary'!P$1,Output!$A$3:$A$17,0),MATCH('Defensive Summary'!$B79,Output!$B$2:$P$2,0))</f>
        <v>1</v>
      </c>
      <c r="Q79" s="24">
        <f>INDEX(Output!$B$3:$P$17,MATCH('Defensive Summary'!Q$1,Output!$A$3:$A$17,0),MATCH('Defensive Summary'!$A79,Output!$B$2:$P$2,0))*INDEX(Output!$B$3:$P$17,MATCH('Defensive Summary'!Q$1,Output!$A$3:$A$17,0),MATCH('Defensive Summary'!$B79,Output!$B$2:$P$2,0))</f>
        <v>1</v>
      </c>
      <c r="R79" s="24"/>
      <c r="S79" s="25">
        <f t="shared" si="1"/>
        <v>8</v>
      </c>
      <c r="T79" s="22" t="s">
        <v>7</v>
      </c>
      <c r="U79" s="22" t="s">
        <v>8</v>
      </c>
      <c r="V79" s="24" cm="1">
        <f t="array" ref="V79">_xlfn.IFS(C79=1,0,C79=2,-1,C79=4,-2,C79=0.5,1,C79=0.25,2,C79=0,4)</f>
        <v>1</v>
      </c>
      <c r="W79" s="24" cm="1">
        <f t="array" ref="W79">_xlfn.IFS(D79=1,0,D79=2,-1,D79=4,-2,D79=0.5,1,D79=0.25,2,D79=0,4)</f>
        <v>1</v>
      </c>
      <c r="X79" s="24" cm="1">
        <f t="array" ref="X79">_xlfn.IFS(E79=1,0,E79=2,-1,E79=4,-2,E79=0.5,1,E79=0.25,2,E79=0,4)</f>
        <v>0</v>
      </c>
      <c r="Y79" s="24" cm="1">
        <f t="array" ref="Y79">_xlfn.IFS(F79=1,0,F79=2,-1,F79=4,-2,F79=0.5,1,F79=0.25,2,F79=0,4)</f>
        <v>2</v>
      </c>
      <c r="Z79" s="24" cm="1">
        <f t="array" ref="Z79">_xlfn.IFS(G79=1,0,G79=2,-1,G79=4,-2,G79=0.5,1,G79=0.25,2,G79=0,4)</f>
        <v>-1</v>
      </c>
      <c r="AA79" s="24" cm="1">
        <f t="array" ref="AA79">_xlfn.IFS(H79=1,0,H79=2,-1,H79=4,-2,H79=0.5,1,H79=0.25,2,H79=0,4)</f>
        <v>0</v>
      </c>
      <c r="AB79" s="24" cm="1">
        <f t="array" ref="AB79">_xlfn.IFS(I79=1,0,I79=2,-1,I79=4,-2,I79=0.5,1,I79=0.25,2,I79=0,4)</f>
        <v>0</v>
      </c>
      <c r="AC79" s="24" cm="1">
        <f t="array" ref="AC79">_xlfn.IFS(J79=1,0,J79=2,-1,J79=4,-2,J79=0.5,1,J79=0.25,2,J79=0,4)</f>
        <v>4</v>
      </c>
      <c r="AD79" s="24" cm="1">
        <f t="array" ref="AD79">_xlfn.IFS(K79=1,0,K79=2,-1,K79=4,-2,K79=0.5,1,K79=0.25,2,K79=0,4)</f>
        <v>-1</v>
      </c>
      <c r="AE79" s="24" cm="1">
        <f t="array" ref="AE79">_xlfn.IFS(L79=1,0,L79=2,-1,L79=4,-2,L79=0.5,1,L79=0.25,2,L79=0,4)</f>
        <v>0</v>
      </c>
      <c r="AF79" s="24" cm="1">
        <f t="array" ref="AF79">_xlfn.IFS(M79=1,0,M79=2,-1,M79=4,-2,M79=0.5,1,M79=0.25,2,M79=0,4)</f>
        <v>4</v>
      </c>
      <c r="AG79" s="24" cm="1">
        <f t="array" ref="AG79">_xlfn.IFS(N79=1,0,N79=2,-1,N79=4,-2,N79=0.5,1,N79=0.25,2,N79=0,4)</f>
        <v>-1</v>
      </c>
      <c r="AH79" s="24" cm="1">
        <f t="array" ref="AH79">_xlfn.IFS(O79=1,0,O79=2,-1,O79=4,-2,O79=0.5,1,O79=0.25,2,O79=0,4)</f>
        <v>-1</v>
      </c>
      <c r="AI79" s="24" cm="1">
        <f t="array" ref="AI79">_xlfn.IFS(P79=1,0,P79=2,-1,P79=4,-2,P79=0.5,1,P79=0.25,2,P79=0,4)</f>
        <v>0</v>
      </c>
      <c r="AJ79" s="24" cm="1">
        <f t="array" ref="AJ79">_xlfn.IFS(Q79=1,0,Q79=2,-1,Q79=4,-2,Q79=0.5,1,Q79=0.25,2,Q79=0,4)</f>
        <v>0</v>
      </c>
    </row>
    <row r="80" spans="1:36" x14ac:dyDescent="0.2">
      <c r="A80" s="22" t="s">
        <v>7</v>
      </c>
      <c r="B80" s="22" t="s">
        <v>9</v>
      </c>
      <c r="C80" s="24">
        <f>INDEX(Output!$B$3:$P$17,MATCH('Defensive Summary'!C$1,Output!$A$3:$A$17,0),MATCH('Defensive Summary'!$A80,Output!$B$2:$P$2,0))*INDEX(Output!$B$3:$P$17,MATCH('Defensive Summary'!C$1,Output!$A$3:$A$17,0),MATCH('Defensive Summary'!$B80,Output!$B$2:$P$2,0))</f>
        <v>1</v>
      </c>
      <c r="D80" s="24">
        <f>INDEX(Output!$B$3:$P$17,MATCH('Defensive Summary'!D$1,Output!$A$3:$A$17,0),MATCH('Defensive Summary'!$A80,Output!$B$2:$P$2,0))*INDEX(Output!$B$3:$P$17,MATCH('Defensive Summary'!D$1,Output!$A$3:$A$17,0),MATCH('Defensive Summary'!$B80,Output!$B$2:$P$2,0))</f>
        <v>1</v>
      </c>
      <c r="E80" s="24">
        <f>INDEX(Output!$B$3:$P$17,MATCH('Defensive Summary'!E$1,Output!$A$3:$A$17,0),MATCH('Defensive Summary'!$A80,Output!$B$2:$P$2,0))*INDEX(Output!$B$3:$P$17,MATCH('Defensive Summary'!E$1,Output!$A$3:$A$17,0),MATCH('Defensive Summary'!$B80,Output!$B$2:$P$2,0))</f>
        <v>1</v>
      </c>
      <c r="F80" s="24">
        <f>INDEX(Output!$B$3:$P$17,MATCH('Defensive Summary'!F$1,Output!$A$3:$A$17,0),MATCH('Defensive Summary'!$A80,Output!$B$2:$P$2,0))*INDEX(Output!$B$3:$P$17,MATCH('Defensive Summary'!F$1,Output!$A$3:$A$17,0),MATCH('Defensive Summary'!$B80,Output!$B$2:$P$2,0))</f>
        <v>0.5</v>
      </c>
      <c r="G80" s="24">
        <f>INDEX(Output!$B$3:$P$17,MATCH('Defensive Summary'!G$1,Output!$A$3:$A$17,0),MATCH('Defensive Summary'!$A80,Output!$B$2:$P$2,0))*INDEX(Output!$B$3:$P$17,MATCH('Defensive Summary'!G$1,Output!$A$3:$A$17,0),MATCH('Defensive Summary'!$B80,Output!$B$2:$P$2,0))</f>
        <v>1</v>
      </c>
      <c r="H80" s="24">
        <f>INDEX(Output!$B$3:$P$17,MATCH('Defensive Summary'!H$1,Output!$A$3:$A$17,0),MATCH('Defensive Summary'!$A80,Output!$B$2:$P$2,0))*INDEX(Output!$B$3:$P$17,MATCH('Defensive Summary'!H$1,Output!$A$3:$A$17,0),MATCH('Defensive Summary'!$B80,Output!$B$2:$P$2,0))</f>
        <v>0.5</v>
      </c>
      <c r="I80" s="24">
        <f>INDEX(Output!$B$3:$P$17,MATCH('Defensive Summary'!I$1,Output!$A$3:$A$17,0),MATCH('Defensive Summary'!$A80,Output!$B$2:$P$2,0))*INDEX(Output!$B$3:$P$17,MATCH('Defensive Summary'!I$1,Output!$A$3:$A$17,0),MATCH('Defensive Summary'!$B80,Output!$B$2:$P$2,0))</f>
        <v>1</v>
      </c>
      <c r="J80" s="24">
        <f>INDEX(Output!$B$3:$P$17,MATCH('Defensive Summary'!J$1,Output!$A$3:$A$17,0),MATCH('Defensive Summary'!$A80,Output!$B$2:$P$2,0))*INDEX(Output!$B$3:$P$17,MATCH('Defensive Summary'!J$1,Output!$A$3:$A$17,0),MATCH('Defensive Summary'!$B80,Output!$B$2:$P$2,0))</f>
        <v>0.5</v>
      </c>
      <c r="K80" s="24">
        <f>INDEX(Output!$B$3:$P$17,MATCH('Defensive Summary'!K$1,Output!$A$3:$A$17,0),MATCH('Defensive Summary'!$A80,Output!$B$2:$P$2,0))*INDEX(Output!$B$3:$P$17,MATCH('Defensive Summary'!K$1,Output!$A$3:$A$17,0),MATCH('Defensive Summary'!$B80,Output!$B$2:$P$2,0))</f>
        <v>0</v>
      </c>
      <c r="L80" s="24">
        <f>INDEX(Output!$B$3:$P$17,MATCH('Defensive Summary'!L$1,Output!$A$3:$A$17,0),MATCH('Defensive Summary'!$A80,Output!$B$2:$P$2,0))*INDEX(Output!$B$3:$P$17,MATCH('Defensive Summary'!L$1,Output!$A$3:$A$17,0),MATCH('Defensive Summary'!$B80,Output!$B$2:$P$2,0))</f>
        <v>0.5</v>
      </c>
      <c r="M80" s="24">
        <f>INDEX(Output!$B$3:$P$17,MATCH('Defensive Summary'!M$1,Output!$A$3:$A$17,0),MATCH('Defensive Summary'!$A80,Output!$B$2:$P$2,0))*INDEX(Output!$B$3:$P$17,MATCH('Defensive Summary'!M$1,Output!$A$3:$A$17,0),MATCH('Defensive Summary'!$B80,Output!$B$2:$P$2,0))</f>
        <v>0</v>
      </c>
      <c r="N80" s="24">
        <f>INDEX(Output!$B$3:$P$17,MATCH('Defensive Summary'!N$1,Output!$A$3:$A$17,0),MATCH('Defensive Summary'!$A80,Output!$B$2:$P$2,0))*INDEX(Output!$B$3:$P$17,MATCH('Defensive Summary'!N$1,Output!$A$3:$A$17,0),MATCH('Defensive Summary'!$B80,Output!$B$2:$P$2,0))</f>
        <v>2</v>
      </c>
      <c r="O80" s="24">
        <f>INDEX(Output!$B$3:$P$17,MATCH('Defensive Summary'!O$1,Output!$A$3:$A$17,0),MATCH('Defensive Summary'!$A80,Output!$B$2:$P$2,0))*INDEX(Output!$B$3:$P$17,MATCH('Defensive Summary'!O$1,Output!$A$3:$A$17,0),MATCH('Defensive Summary'!$B80,Output!$B$2:$P$2,0))</f>
        <v>1</v>
      </c>
      <c r="P80" s="24">
        <f>INDEX(Output!$B$3:$P$17,MATCH('Defensive Summary'!P$1,Output!$A$3:$A$17,0),MATCH('Defensive Summary'!$A80,Output!$B$2:$P$2,0))*INDEX(Output!$B$3:$P$17,MATCH('Defensive Summary'!P$1,Output!$A$3:$A$17,0),MATCH('Defensive Summary'!$B80,Output!$B$2:$P$2,0))</f>
        <v>4</v>
      </c>
      <c r="Q80" s="24">
        <f>INDEX(Output!$B$3:$P$17,MATCH('Defensive Summary'!Q$1,Output!$A$3:$A$17,0),MATCH('Defensive Summary'!$A80,Output!$B$2:$P$2,0))*INDEX(Output!$B$3:$P$17,MATCH('Defensive Summary'!Q$1,Output!$A$3:$A$17,0),MATCH('Defensive Summary'!$B80,Output!$B$2:$P$2,0))</f>
        <v>1</v>
      </c>
      <c r="R80" s="24"/>
      <c r="S80" s="25">
        <f t="shared" si="1"/>
        <v>9</v>
      </c>
      <c r="T80" s="22" t="s">
        <v>7</v>
      </c>
      <c r="U80" s="22" t="s">
        <v>9</v>
      </c>
      <c r="V80" s="24" cm="1">
        <f t="array" ref="V80">_xlfn.IFS(C80=1,0,C80=2,-1,C80=4,-2,C80=0.5,1,C80=0.25,2,C80=0,4)</f>
        <v>0</v>
      </c>
      <c r="W80" s="24" cm="1">
        <f t="array" ref="W80">_xlfn.IFS(D80=1,0,D80=2,-1,D80=4,-2,D80=0.5,1,D80=0.25,2,D80=0,4)</f>
        <v>0</v>
      </c>
      <c r="X80" s="24" cm="1">
        <f t="array" ref="X80">_xlfn.IFS(E80=1,0,E80=2,-1,E80=4,-2,E80=0.5,1,E80=0.25,2,E80=0,4)</f>
        <v>0</v>
      </c>
      <c r="Y80" s="24" cm="1">
        <f t="array" ref="Y80">_xlfn.IFS(F80=1,0,F80=2,-1,F80=4,-2,F80=0.5,1,F80=0.25,2,F80=0,4)</f>
        <v>1</v>
      </c>
      <c r="Z80" s="24" cm="1">
        <f t="array" ref="Z80">_xlfn.IFS(G80=1,0,G80=2,-1,G80=4,-2,G80=0.5,1,G80=0.25,2,G80=0,4)</f>
        <v>0</v>
      </c>
      <c r="AA80" s="24" cm="1">
        <f t="array" ref="AA80">_xlfn.IFS(H80=1,0,H80=2,-1,H80=4,-2,H80=0.5,1,H80=0.25,2,H80=0,4)</f>
        <v>1</v>
      </c>
      <c r="AB80" s="24" cm="1">
        <f t="array" ref="AB80">_xlfn.IFS(I80=1,0,I80=2,-1,I80=4,-2,I80=0.5,1,I80=0.25,2,I80=0,4)</f>
        <v>0</v>
      </c>
      <c r="AC80" s="24" cm="1">
        <f t="array" ref="AC80">_xlfn.IFS(J80=1,0,J80=2,-1,J80=4,-2,J80=0.5,1,J80=0.25,2,J80=0,4)</f>
        <v>1</v>
      </c>
      <c r="AD80" s="24" cm="1">
        <f t="array" ref="AD80">_xlfn.IFS(K80=1,0,K80=2,-1,K80=4,-2,K80=0.5,1,K80=0.25,2,K80=0,4)</f>
        <v>4</v>
      </c>
      <c r="AE80" s="24" cm="1">
        <f t="array" ref="AE80">_xlfn.IFS(L80=1,0,L80=2,-1,L80=4,-2,L80=0.5,1,L80=0.25,2,L80=0,4)</f>
        <v>1</v>
      </c>
      <c r="AF80" s="24" cm="1">
        <f t="array" ref="AF80">_xlfn.IFS(M80=1,0,M80=2,-1,M80=4,-2,M80=0.5,1,M80=0.25,2,M80=0,4)</f>
        <v>4</v>
      </c>
      <c r="AG80" s="24" cm="1">
        <f t="array" ref="AG80">_xlfn.IFS(N80=1,0,N80=2,-1,N80=4,-2,N80=0.5,1,N80=0.25,2,N80=0,4)</f>
        <v>-1</v>
      </c>
      <c r="AH80" s="24" cm="1">
        <f t="array" ref="AH80">_xlfn.IFS(O80=1,0,O80=2,-1,O80=4,-2,O80=0.5,1,O80=0.25,2,O80=0,4)</f>
        <v>0</v>
      </c>
      <c r="AI80" s="24" cm="1">
        <f t="array" ref="AI80">_xlfn.IFS(P80=1,0,P80=2,-1,P80=4,-2,P80=0.5,1,P80=0.25,2,P80=0,4)</f>
        <v>-2</v>
      </c>
      <c r="AJ80" s="24" cm="1">
        <f t="array" ref="AJ80">_xlfn.IFS(Q80=1,0,Q80=2,-1,Q80=4,-2,Q80=0.5,1,Q80=0.25,2,Q80=0,4)</f>
        <v>0</v>
      </c>
    </row>
    <row r="81" spans="1:36" x14ac:dyDescent="0.2">
      <c r="A81" s="22" t="s">
        <v>7</v>
      </c>
      <c r="B81" s="22" t="s">
        <v>10</v>
      </c>
      <c r="C81" s="24">
        <f>INDEX(Output!$B$3:$P$17,MATCH('Defensive Summary'!C$1,Output!$A$3:$A$17,0),MATCH('Defensive Summary'!$A81,Output!$B$2:$P$2,0))*INDEX(Output!$B$3:$P$17,MATCH('Defensive Summary'!C$1,Output!$A$3:$A$17,0),MATCH('Defensive Summary'!$B81,Output!$B$2:$P$2,0))</f>
        <v>2</v>
      </c>
      <c r="D81" s="24">
        <f>INDEX(Output!$B$3:$P$17,MATCH('Defensive Summary'!D$1,Output!$A$3:$A$17,0),MATCH('Defensive Summary'!$A81,Output!$B$2:$P$2,0))*INDEX(Output!$B$3:$P$17,MATCH('Defensive Summary'!D$1,Output!$A$3:$A$17,0),MATCH('Defensive Summary'!$B81,Output!$B$2:$P$2,0))</f>
        <v>1</v>
      </c>
      <c r="E81" s="24">
        <f>INDEX(Output!$B$3:$P$17,MATCH('Defensive Summary'!E$1,Output!$A$3:$A$17,0),MATCH('Defensive Summary'!$A81,Output!$B$2:$P$2,0))*INDEX(Output!$B$3:$P$17,MATCH('Defensive Summary'!E$1,Output!$A$3:$A$17,0),MATCH('Defensive Summary'!$B81,Output!$B$2:$P$2,0))</f>
        <v>0.5</v>
      </c>
      <c r="F81" s="24">
        <f>INDEX(Output!$B$3:$P$17,MATCH('Defensive Summary'!F$1,Output!$A$3:$A$17,0),MATCH('Defensive Summary'!$A81,Output!$B$2:$P$2,0))*INDEX(Output!$B$3:$P$17,MATCH('Defensive Summary'!F$1,Output!$A$3:$A$17,0),MATCH('Defensive Summary'!$B81,Output!$B$2:$P$2,0))</f>
        <v>0.5</v>
      </c>
      <c r="G81" s="24">
        <f>INDEX(Output!$B$3:$P$17,MATCH('Defensive Summary'!G$1,Output!$A$3:$A$17,0),MATCH('Defensive Summary'!$A81,Output!$B$2:$P$2,0))*INDEX(Output!$B$3:$P$17,MATCH('Defensive Summary'!G$1,Output!$A$3:$A$17,0),MATCH('Defensive Summary'!$B81,Output!$B$2:$P$2,0))</f>
        <v>2</v>
      </c>
      <c r="H81" s="24">
        <f>INDEX(Output!$B$3:$P$17,MATCH('Defensive Summary'!H$1,Output!$A$3:$A$17,0),MATCH('Defensive Summary'!$A81,Output!$B$2:$P$2,0))*INDEX(Output!$B$3:$P$17,MATCH('Defensive Summary'!H$1,Output!$A$3:$A$17,0),MATCH('Defensive Summary'!$B81,Output!$B$2:$P$2,0))</f>
        <v>1</v>
      </c>
      <c r="I81" s="24">
        <f>INDEX(Output!$B$3:$P$17,MATCH('Defensive Summary'!I$1,Output!$A$3:$A$17,0),MATCH('Defensive Summary'!$A81,Output!$B$2:$P$2,0))*INDEX(Output!$B$3:$P$17,MATCH('Defensive Summary'!I$1,Output!$A$3:$A$17,0),MATCH('Defensive Summary'!$B81,Output!$B$2:$P$2,0))</f>
        <v>0.5</v>
      </c>
      <c r="J81" s="24">
        <f>INDEX(Output!$B$3:$P$17,MATCH('Defensive Summary'!J$1,Output!$A$3:$A$17,0),MATCH('Defensive Summary'!$A81,Output!$B$2:$P$2,0))*INDEX(Output!$B$3:$P$17,MATCH('Defensive Summary'!J$1,Output!$A$3:$A$17,0),MATCH('Defensive Summary'!$B81,Output!$B$2:$P$2,0))</f>
        <v>2</v>
      </c>
      <c r="K81" s="24">
        <f>INDEX(Output!$B$3:$P$17,MATCH('Defensive Summary'!K$1,Output!$A$3:$A$17,0),MATCH('Defensive Summary'!$A81,Output!$B$2:$P$2,0))*INDEX(Output!$B$3:$P$17,MATCH('Defensive Summary'!K$1,Output!$A$3:$A$17,0),MATCH('Defensive Summary'!$B81,Output!$B$2:$P$2,0))</f>
        <v>1</v>
      </c>
      <c r="L81" s="24">
        <f>INDEX(Output!$B$3:$P$17,MATCH('Defensive Summary'!L$1,Output!$A$3:$A$17,0),MATCH('Defensive Summary'!$A81,Output!$B$2:$P$2,0))*INDEX(Output!$B$3:$P$17,MATCH('Defensive Summary'!L$1,Output!$A$3:$A$17,0),MATCH('Defensive Summary'!$B81,Output!$B$2:$P$2,0))</f>
        <v>0</v>
      </c>
      <c r="M81" s="24">
        <f>INDEX(Output!$B$3:$P$17,MATCH('Defensive Summary'!M$1,Output!$A$3:$A$17,0),MATCH('Defensive Summary'!$A81,Output!$B$2:$P$2,0))*INDEX(Output!$B$3:$P$17,MATCH('Defensive Summary'!M$1,Output!$A$3:$A$17,0),MATCH('Defensive Summary'!$B81,Output!$B$2:$P$2,0))</f>
        <v>0</v>
      </c>
      <c r="N81" s="24">
        <f>INDEX(Output!$B$3:$P$17,MATCH('Defensive Summary'!N$1,Output!$A$3:$A$17,0),MATCH('Defensive Summary'!$A81,Output!$B$2:$P$2,0))*INDEX(Output!$B$3:$P$17,MATCH('Defensive Summary'!N$1,Output!$A$3:$A$17,0),MATCH('Defensive Summary'!$B81,Output!$B$2:$P$2,0))</f>
        <v>1</v>
      </c>
      <c r="O81" s="24">
        <f>INDEX(Output!$B$3:$P$17,MATCH('Defensive Summary'!O$1,Output!$A$3:$A$17,0),MATCH('Defensive Summary'!$A81,Output!$B$2:$P$2,0))*INDEX(Output!$B$3:$P$17,MATCH('Defensive Summary'!O$1,Output!$A$3:$A$17,0),MATCH('Defensive Summary'!$B81,Output!$B$2:$P$2,0))</f>
        <v>1</v>
      </c>
      <c r="P81" s="24">
        <f>INDEX(Output!$B$3:$P$17,MATCH('Defensive Summary'!P$1,Output!$A$3:$A$17,0),MATCH('Defensive Summary'!$A81,Output!$B$2:$P$2,0))*INDEX(Output!$B$3:$P$17,MATCH('Defensive Summary'!P$1,Output!$A$3:$A$17,0),MATCH('Defensive Summary'!$B81,Output!$B$2:$P$2,0))</f>
        <v>2</v>
      </c>
      <c r="Q81" s="24">
        <f>INDEX(Output!$B$3:$P$17,MATCH('Defensive Summary'!Q$1,Output!$A$3:$A$17,0),MATCH('Defensive Summary'!$A81,Output!$B$2:$P$2,0))*INDEX(Output!$B$3:$P$17,MATCH('Defensive Summary'!Q$1,Output!$A$3:$A$17,0),MATCH('Defensive Summary'!$B81,Output!$B$2:$P$2,0))</f>
        <v>1</v>
      </c>
      <c r="R81" s="24"/>
      <c r="S81" s="25">
        <f t="shared" si="1"/>
        <v>7</v>
      </c>
      <c r="T81" s="22" t="s">
        <v>7</v>
      </c>
      <c r="U81" s="22" t="s">
        <v>10</v>
      </c>
      <c r="V81" s="24" cm="1">
        <f t="array" ref="V81">_xlfn.IFS(C81=1,0,C81=2,-1,C81=4,-2,C81=0.5,1,C81=0.25,2,C81=0,4)</f>
        <v>-1</v>
      </c>
      <c r="W81" s="24" cm="1">
        <f t="array" ref="W81">_xlfn.IFS(D81=1,0,D81=2,-1,D81=4,-2,D81=0.5,1,D81=0.25,2,D81=0,4)</f>
        <v>0</v>
      </c>
      <c r="X81" s="24" cm="1">
        <f t="array" ref="X81">_xlfn.IFS(E81=1,0,E81=2,-1,E81=4,-2,E81=0.5,1,E81=0.25,2,E81=0,4)</f>
        <v>1</v>
      </c>
      <c r="Y81" s="24" cm="1">
        <f t="array" ref="Y81">_xlfn.IFS(F81=1,0,F81=2,-1,F81=4,-2,F81=0.5,1,F81=0.25,2,F81=0,4)</f>
        <v>1</v>
      </c>
      <c r="Z81" s="24" cm="1">
        <f t="array" ref="Z81">_xlfn.IFS(G81=1,0,G81=2,-1,G81=4,-2,G81=0.5,1,G81=0.25,2,G81=0,4)</f>
        <v>-1</v>
      </c>
      <c r="AA81" s="24" cm="1">
        <f t="array" ref="AA81">_xlfn.IFS(H81=1,0,H81=2,-1,H81=4,-2,H81=0.5,1,H81=0.25,2,H81=0,4)</f>
        <v>0</v>
      </c>
      <c r="AB81" s="24" cm="1">
        <f t="array" ref="AB81">_xlfn.IFS(I81=1,0,I81=2,-1,I81=4,-2,I81=0.5,1,I81=0.25,2,I81=0,4)</f>
        <v>1</v>
      </c>
      <c r="AC81" s="24" cm="1">
        <f t="array" ref="AC81">_xlfn.IFS(J81=1,0,J81=2,-1,J81=4,-2,J81=0.5,1,J81=0.25,2,J81=0,4)</f>
        <v>-1</v>
      </c>
      <c r="AD81" s="24" cm="1">
        <f t="array" ref="AD81">_xlfn.IFS(K81=1,0,K81=2,-1,K81=4,-2,K81=0.5,1,K81=0.25,2,K81=0,4)</f>
        <v>0</v>
      </c>
      <c r="AE81" s="24" cm="1">
        <f t="array" ref="AE81">_xlfn.IFS(L81=1,0,L81=2,-1,L81=4,-2,L81=0.5,1,L81=0.25,2,L81=0,4)</f>
        <v>4</v>
      </c>
      <c r="AF81" s="24" cm="1">
        <f t="array" ref="AF81">_xlfn.IFS(M81=1,0,M81=2,-1,M81=4,-2,M81=0.5,1,M81=0.25,2,M81=0,4)</f>
        <v>4</v>
      </c>
      <c r="AG81" s="24" cm="1">
        <f t="array" ref="AG81">_xlfn.IFS(N81=1,0,N81=2,-1,N81=4,-2,N81=0.5,1,N81=0.25,2,N81=0,4)</f>
        <v>0</v>
      </c>
      <c r="AH81" s="24" cm="1">
        <f t="array" ref="AH81">_xlfn.IFS(O81=1,0,O81=2,-1,O81=4,-2,O81=0.5,1,O81=0.25,2,O81=0,4)</f>
        <v>0</v>
      </c>
      <c r="AI81" s="24" cm="1">
        <f t="array" ref="AI81">_xlfn.IFS(P81=1,0,P81=2,-1,P81=4,-2,P81=0.5,1,P81=0.25,2,P81=0,4)</f>
        <v>-1</v>
      </c>
      <c r="AJ81" s="24" cm="1">
        <f t="array" ref="AJ81">_xlfn.IFS(Q81=1,0,Q81=2,-1,Q81=4,-2,Q81=0.5,1,Q81=0.25,2,Q81=0,4)</f>
        <v>0</v>
      </c>
    </row>
    <row r="82" spans="1:36" x14ac:dyDescent="0.2">
      <c r="A82" s="22" t="s">
        <v>7</v>
      </c>
      <c r="B82" s="22" t="s">
        <v>11</v>
      </c>
      <c r="C82" s="24">
        <f>INDEX(Output!$B$3:$P$17,MATCH('Defensive Summary'!C$1,Output!$A$3:$A$17,0),MATCH('Defensive Summary'!$A82,Output!$B$2:$P$2,0))*INDEX(Output!$B$3:$P$17,MATCH('Defensive Summary'!C$1,Output!$A$3:$A$17,0),MATCH('Defensive Summary'!$B82,Output!$B$2:$P$2,0))</f>
        <v>1</v>
      </c>
      <c r="D82" s="24">
        <f>INDEX(Output!$B$3:$P$17,MATCH('Defensive Summary'!D$1,Output!$A$3:$A$17,0),MATCH('Defensive Summary'!$A82,Output!$B$2:$P$2,0))*INDEX(Output!$B$3:$P$17,MATCH('Defensive Summary'!D$1,Output!$A$3:$A$17,0),MATCH('Defensive Summary'!$B82,Output!$B$2:$P$2,0))</f>
        <v>1</v>
      </c>
      <c r="E82" s="24">
        <f>INDEX(Output!$B$3:$P$17,MATCH('Defensive Summary'!E$1,Output!$A$3:$A$17,0),MATCH('Defensive Summary'!$A82,Output!$B$2:$P$2,0))*INDEX(Output!$B$3:$P$17,MATCH('Defensive Summary'!E$1,Output!$A$3:$A$17,0),MATCH('Defensive Summary'!$B82,Output!$B$2:$P$2,0))</f>
        <v>1</v>
      </c>
      <c r="F82" s="24">
        <f>INDEX(Output!$B$3:$P$17,MATCH('Defensive Summary'!F$1,Output!$A$3:$A$17,0),MATCH('Defensive Summary'!$A82,Output!$B$2:$P$2,0))*INDEX(Output!$B$3:$P$17,MATCH('Defensive Summary'!F$1,Output!$A$3:$A$17,0),MATCH('Defensive Summary'!$B82,Output!$B$2:$P$2,0))</f>
        <v>0.5</v>
      </c>
      <c r="G82" s="24">
        <f>INDEX(Output!$B$3:$P$17,MATCH('Defensive Summary'!G$1,Output!$A$3:$A$17,0),MATCH('Defensive Summary'!$A82,Output!$B$2:$P$2,0))*INDEX(Output!$B$3:$P$17,MATCH('Defensive Summary'!G$1,Output!$A$3:$A$17,0),MATCH('Defensive Summary'!$B82,Output!$B$2:$P$2,0))</f>
        <v>1</v>
      </c>
      <c r="H82" s="24">
        <f>INDEX(Output!$B$3:$P$17,MATCH('Defensive Summary'!H$1,Output!$A$3:$A$17,0),MATCH('Defensive Summary'!$A82,Output!$B$2:$P$2,0))*INDEX(Output!$B$3:$P$17,MATCH('Defensive Summary'!H$1,Output!$A$3:$A$17,0),MATCH('Defensive Summary'!$B82,Output!$B$2:$P$2,0))</f>
        <v>0.5</v>
      </c>
      <c r="I82" s="24">
        <f>INDEX(Output!$B$3:$P$17,MATCH('Defensive Summary'!I$1,Output!$A$3:$A$17,0),MATCH('Defensive Summary'!$A82,Output!$B$2:$P$2,0))*INDEX(Output!$B$3:$P$17,MATCH('Defensive Summary'!I$1,Output!$A$3:$A$17,0),MATCH('Defensive Summary'!$B82,Output!$B$2:$P$2,0))</f>
        <v>0.5</v>
      </c>
      <c r="J82" s="24">
        <f>INDEX(Output!$B$3:$P$17,MATCH('Defensive Summary'!J$1,Output!$A$3:$A$17,0),MATCH('Defensive Summary'!$A82,Output!$B$2:$P$2,0))*INDEX(Output!$B$3:$P$17,MATCH('Defensive Summary'!J$1,Output!$A$3:$A$17,0),MATCH('Defensive Summary'!$B82,Output!$B$2:$P$2,0))</f>
        <v>1</v>
      </c>
      <c r="K82" s="24">
        <f>INDEX(Output!$B$3:$P$17,MATCH('Defensive Summary'!K$1,Output!$A$3:$A$17,0),MATCH('Defensive Summary'!$A82,Output!$B$2:$P$2,0))*INDEX(Output!$B$3:$P$17,MATCH('Defensive Summary'!K$1,Output!$A$3:$A$17,0),MATCH('Defensive Summary'!$B82,Output!$B$2:$P$2,0))</f>
        <v>2</v>
      </c>
      <c r="L82" s="24">
        <f>INDEX(Output!$B$3:$P$17,MATCH('Defensive Summary'!L$1,Output!$A$3:$A$17,0),MATCH('Defensive Summary'!$A82,Output!$B$2:$P$2,0))*INDEX(Output!$B$3:$P$17,MATCH('Defensive Summary'!L$1,Output!$A$3:$A$17,0),MATCH('Defensive Summary'!$B82,Output!$B$2:$P$2,0))</f>
        <v>0.5</v>
      </c>
      <c r="M82" s="24">
        <f>INDEX(Output!$B$3:$P$17,MATCH('Defensive Summary'!M$1,Output!$A$3:$A$17,0),MATCH('Defensive Summary'!$A82,Output!$B$2:$P$2,0))*INDEX(Output!$B$3:$P$17,MATCH('Defensive Summary'!M$1,Output!$A$3:$A$17,0),MATCH('Defensive Summary'!$B82,Output!$B$2:$P$2,0))</f>
        <v>0</v>
      </c>
      <c r="N82" s="24">
        <f>INDEX(Output!$B$3:$P$17,MATCH('Defensive Summary'!N$1,Output!$A$3:$A$17,0),MATCH('Defensive Summary'!$A82,Output!$B$2:$P$2,0))*INDEX(Output!$B$3:$P$17,MATCH('Defensive Summary'!N$1,Output!$A$3:$A$17,0),MATCH('Defensive Summary'!$B82,Output!$B$2:$P$2,0))</f>
        <v>1</v>
      </c>
      <c r="O82" s="24">
        <f>INDEX(Output!$B$3:$P$17,MATCH('Defensive Summary'!O$1,Output!$A$3:$A$17,0),MATCH('Defensive Summary'!$A82,Output!$B$2:$P$2,0))*INDEX(Output!$B$3:$P$17,MATCH('Defensive Summary'!O$1,Output!$A$3:$A$17,0),MATCH('Defensive Summary'!$B82,Output!$B$2:$P$2,0))</f>
        <v>4</v>
      </c>
      <c r="P82" s="24">
        <f>INDEX(Output!$B$3:$P$17,MATCH('Defensive Summary'!P$1,Output!$A$3:$A$17,0),MATCH('Defensive Summary'!$A82,Output!$B$2:$P$2,0))*INDEX(Output!$B$3:$P$17,MATCH('Defensive Summary'!P$1,Output!$A$3:$A$17,0),MATCH('Defensive Summary'!$B82,Output!$B$2:$P$2,0))</f>
        <v>1</v>
      </c>
      <c r="Q82" s="24">
        <f>INDEX(Output!$B$3:$P$17,MATCH('Defensive Summary'!Q$1,Output!$A$3:$A$17,0),MATCH('Defensive Summary'!$A82,Output!$B$2:$P$2,0))*INDEX(Output!$B$3:$P$17,MATCH('Defensive Summary'!Q$1,Output!$A$3:$A$17,0),MATCH('Defensive Summary'!$B82,Output!$B$2:$P$2,0))</f>
        <v>1</v>
      </c>
      <c r="R82" s="24"/>
      <c r="S82" s="25">
        <f t="shared" si="1"/>
        <v>5</v>
      </c>
      <c r="T82" s="22" t="s">
        <v>7</v>
      </c>
      <c r="U82" s="22" t="s">
        <v>11</v>
      </c>
      <c r="V82" s="24" cm="1">
        <f t="array" ref="V82">_xlfn.IFS(C82=1,0,C82=2,-1,C82=4,-2,C82=0.5,1,C82=0.25,2,C82=0,4)</f>
        <v>0</v>
      </c>
      <c r="W82" s="24" cm="1">
        <f t="array" ref="W82">_xlfn.IFS(D82=1,0,D82=2,-1,D82=4,-2,D82=0.5,1,D82=0.25,2,D82=0,4)</f>
        <v>0</v>
      </c>
      <c r="X82" s="24" cm="1">
        <f t="array" ref="X82">_xlfn.IFS(E82=1,0,E82=2,-1,E82=4,-2,E82=0.5,1,E82=0.25,2,E82=0,4)</f>
        <v>0</v>
      </c>
      <c r="Y82" s="24" cm="1">
        <f t="array" ref="Y82">_xlfn.IFS(F82=1,0,F82=2,-1,F82=4,-2,F82=0.5,1,F82=0.25,2,F82=0,4)</f>
        <v>1</v>
      </c>
      <c r="Z82" s="24" cm="1">
        <f t="array" ref="Z82">_xlfn.IFS(G82=1,0,G82=2,-1,G82=4,-2,G82=0.5,1,G82=0.25,2,G82=0,4)</f>
        <v>0</v>
      </c>
      <c r="AA82" s="24" cm="1">
        <f t="array" ref="AA82">_xlfn.IFS(H82=1,0,H82=2,-1,H82=4,-2,H82=0.5,1,H82=0.25,2,H82=0,4)</f>
        <v>1</v>
      </c>
      <c r="AB82" s="24" cm="1">
        <f t="array" ref="AB82">_xlfn.IFS(I82=1,0,I82=2,-1,I82=4,-2,I82=0.5,1,I82=0.25,2,I82=0,4)</f>
        <v>1</v>
      </c>
      <c r="AC82" s="24" cm="1">
        <f t="array" ref="AC82">_xlfn.IFS(J82=1,0,J82=2,-1,J82=4,-2,J82=0.5,1,J82=0.25,2,J82=0,4)</f>
        <v>0</v>
      </c>
      <c r="AD82" s="24" cm="1">
        <f t="array" ref="AD82">_xlfn.IFS(K82=1,0,K82=2,-1,K82=4,-2,K82=0.5,1,K82=0.25,2,K82=0,4)</f>
        <v>-1</v>
      </c>
      <c r="AE82" s="24" cm="1">
        <f t="array" ref="AE82">_xlfn.IFS(L82=1,0,L82=2,-1,L82=4,-2,L82=0.5,1,L82=0.25,2,L82=0,4)</f>
        <v>1</v>
      </c>
      <c r="AF82" s="24" cm="1">
        <f t="array" ref="AF82">_xlfn.IFS(M82=1,0,M82=2,-1,M82=4,-2,M82=0.5,1,M82=0.25,2,M82=0,4)</f>
        <v>4</v>
      </c>
      <c r="AG82" s="24" cm="1">
        <f t="array" ref="AG82">_xlfn.IFS(N82=1,0,N82=2,-1,N82=4,-2,N82=0.5,1,N82=0.25,2,N82=0,4)</f>
        <v>0</v>
      </c>
      <c r="AH82" s="24" cm="1">
        <f t="array" ref="AH82">_xlfn.IFS(O82=1,0,O82=2,-1,O82=4,-2,O82=0.5,1,O82=0.25,2,O82=0,4)</f>
        <v>-2</v>
      </c>
      <c r="AI82" s="24" cm="1">
        <f t="array" ref="AI82">_xlfn.IFS(P82=1,0,P82=2,-1,P82=4,-2,P82=0.5,1,P82=0.25,2,P82=0,4)</f>
        <v>0</v>
      </c>
      <c r="AJ82" s="24" cm="1">
        <f t="array" ref="AJ82">_xlfn.IFS(Q82=1,0,Q82=2,-1,Q82=4,-2,Q82=0.5,1,Q82=0.25,2,Q82=0,4)</f>
        <v>0</v>
      </c>
    </row>
    <row r="83" spans="1:36" x14ac:dyDescent="0.2">
      <c r="A83" s="22" t="s">
        <v>7</v>
      </c>
      <c r="B83" s="22" t="s">
        <v>12</v>
      </c>
      <c r="C83" s="24">
        <f>INDEX(Output!$B$3:$P$17,MATCH('Defensive Summary'!C$1,Output!$A$3:$A$17,0),MATCH('Defensive Summary'!$A83,Output!$B$2:$P$2,0))*INDEX(Output!$B$3:$P$17,MATCH('Defensive Summary'!C$1,Output!$A$3:$A$17,0),MATCH('Defensive Summary'!$B83,Output!$B$2:$P$2,0))</f>
        <v>2</v>
      </c>
      <c r="D83" s="24">
        <f>INDEX(Output!$B$3:$P$17,MATCH('Defensive Summary'!D$1,Output!$A$3:$A$17,0),MATCH('Defensive Summary'!$A83,Output!$B$2:$P$2,0))*INDEX(Output!$B$3:$P$17,MATCH('Defensive Summary'!D$1,Output!$A$3:$A$17,0),MATCH('Defensive Summary'!$B83,Output!$B$2:$P$2,0))</f>
        <v>2</v>
      </c>
      <c r="E83" s="24">
        <f>INDEX(Output!$B$3:$P$17,MATCH('Defensive Summary'!E$1,Output!$A$3:$A$17,0),MATCH('Defensive Summary'!$A83,Output!$B$2:$P$2,0))*INDEX(Output!$B$3:$P$17,MATCH('Defensive Summary'!E$1,Output!$A$3:$A$17,0),MATCH('Defensive Summary'!$B83,Output!$B$2:$P$2,0))</f>
        <v>2</v>
      </c>
      <c r="F83" s="24">
        <f>INDEX(Output!$B$3:$P$17,MATCH('Defensive Summary'!F$1,Output!$A$3:$A$17,0),MATCH('Defensive Summary'!$A83,Output!$B$2:$P$2,0))*INDEX(Output!$B$3:$P$17,MATCH('Defensive Summary'!F$1,Output!$A$3:$A$17,0),MATCH('Defensive Summary'!$B83,Output!$B$2:$P$2,0))</f>
        <v>0.5</v>
      </c>
      <c r="G83" s="24">
        <f>INDEX(Output!$B$3:$P$17,MATCH('Defensive Summary'!G$1,Output!$A$3:$A$17,0),MATCH('Defensive Summary'!$A83,Output!$B$2:$P$2,0))*INDEX(Output!$B$3:$P$17,MATCH('Defensive Summary'!G$1,Output!$A$3:$A$17,0),MATCH('Defensive Summary'!$B83,Output!$B$2:$P$2,0))</f>
        <v>0.5</v>
      </c>
      <c r="H83" s="24">
        <f>INDEX(Output!$B$3:$P$17,MATCH('Defensive Summary'!H$1,Output!$A$3:$A$17,0),MATCH('Defensive Summary'!$A83,Output!$B$2:$P$2,0))*INDEX(Output!$B$3:$P$17,MATCH('Defensive Summary'!H$1,Output!$A$3:$A$17,0),MATCH('Defensive Summary'!$B83,Output!$B$2:$P$2,0))</f>
        <v>1</v>
      </c>
      <c r="I83" s="24">
        <f>INDEX(Output!$B$3:$P$17,MATCH('Defensive Summary'!I$1,Output!$A$3:$A$17,0),MATCH('Defensive Summary'!$A83,Output!$B$2:$P$2,0))*INDEX(Output!$B$3:$P$17,MATCH('Defensive Summary'!I$1,Output!$A$3:$A$17,0),MATCH('Defensive Summary'!$B83,Output!$B$2:$P$2,0))</f>
        <v>2</v>
      </c>
      <c r="J83" s="24">
        <f>INDEX(Output!$B$3:$P$17,MATCH('Defensive Summary'!J$1,Output!$A$3:$A$17,0),MATCH('Defensive Summary'!$A83,Output!$B$2:$P$2,0))*INDEX(Output!$B$3:$P$17,MATCH('Defensive Summary'!J$1,Output!$A$3:$A$17,0),MATCH('Defensive Summary'!$B83,Output!$B$2:$P$2,0))</f>
        <v>0.5</v>
      </c>
      <c r="K83" s="24">
        <f>INDEX(Output!$B$3:$P$17,MATCH('Defensive Summary'!K$1,Output!$A$3:$A$17,0),MATCH('Defensive Summary'!$A83,Output!$B$2:$P$2,0))*INDEX(Output!$B$3:$P$17,MATCH('Defensive Summary'!K$1,Output!$A$3:$A$17,0),MATCH('Defensive Summary'!$B83,Output!$B$2:$P$2,0))</f>
        <v>2</v>
      </c>
      <c r="L83" s="24">
        <f>INDEX(Output!$B$3:$P$17,MATCH('Defensive Summary'!L$1,Output!$A$3:$A$17,0),MATCH('Defensive Summary'!$A83,Output!$B$2:$P$2,0))*INDEX(Output!$B$3:$P$17,MATCH('Defensive Summary'!L$1,Output!$A$3:$A$17,0),MATCH('Defensive Summary'!$B83,Output!$B$2:$P$2,0))</f>
        <v>1</v>
      </c>
      <c r="M83" s="24">
        <f>INDEX(Output!$B$3:$P$17,MATCH('Defensive Summary'!M$1,Output!$A$3:$A$17,0),MATCH('Defensive Summary'!$A83,Output!$B$2:$P$2,0))*INDEX(Output!$B$3:$P$17,MATCH('Defensive Summary'!M$1,Output!$A$3:$A$17,0),MATCH('Defensive Summary'!$B83,Output!$B$2:$P$2,0))</f>
        <v>0</v>
      </c>
      <c r="N83" s="24">
        <f>INDEX(Output!$B$3:$P$17,MATCH('Defensive Summary'!N$1,Output!$A$3:$A$17,0),MATCH('Defensive Summary'!$A83,Output!$B$2:$P$2,0))*INDEX(Output!$B$3:$P$17,MATCH('Defensive Summary'!N$1,Output!$A$3:$A$17,0),MATCH('Defensive Summary'!$B83,Output!$B$2:$P$2,0))</f>
        <v>0</v>
      </c>
      <c r="O83" s="24">
        <f>INDEX(Output!$B$3:$P$17,MATCH('Defensive Summary'!O$1,Output!$A$3:$A$17,0),MATCH('Defensive Summary'!$A83,Output!$B$2:$P$2,0))*INDEX(Output!$B$3:$P$17,MATCH('Defensive Summary'!O$1,Output!$A$3:$A$17,0),MATCH('Defensive Summary'!$B83,Output!$B$2:$P$2,0))</f>
        <v>1</v>
      </c>
      <c r="P83" s="24">
        <f>INDEX(Output!$B$3:$P$17,MATCH('Defensive Summary'!P$1,Output!$A$3:$A$17,0),MATCH('Defensive Summary'!$A83,Output!$B$2:$P$2,0))*INDEX(Output!$B$3:$P$17,MATCH('Defensive Summary'!P$1,Output!$A$3:$A$17,0),MATCH('Defensive Summary'!$B83,Output!$B$2:$P$2,0))</f>
        <v>0</v>
      </c>
      <c r="Q83" s="24">
        <f>INDEX(Output!$B$3:$P$17,MATCH('Defensive Summary'!Q$1,Output!$A$3:$A$17,0),MATCH('Defensive Summary'!$A83,Output!$B$2:$P$2,0))*INDEX(Output!$B$3:$P$17,MATCH('Defensive Summary'!Q$1,Output!$A$3:$A$17,0),MATCH('Defensive Summary'!$B83,Output!$B$2:$P$2,0))</f>
        <v>1</v>
      </c>
      <c r="R83" s="24"/>
      <c r="S83" s="25">
        <f t="shared" si="1"/>
        <v>10</v>
      </c>
      <c r="T83" s="22" t="s">
        <v>7</v>
      </c>
      <c r="U83" s="22" t="s">
        <v>12</v>
      </c>
      <c r="V83" s="24" cm="1">
        <f t="array" ref="V83">_xlfn.IFS(C83=1,0,C83=2,-1,C83=4,-2,C83=0.5,1,C83=0.25,2,C83=0,4)</f>
        <v>-1</v>
      </c>
      <c r="W83" s="24" cm="1">
        <f t="array" ref="W83">_xlfn.IFS(D83=1,0,D83=2,-1,D83=4,-2,D83=0.5,1,D83=0.25,2,D83=0,4)</f>
        <v>-1</v>
      </c>
      <c r="X83" s="24" cm="1">
        <f t="array" ref="X83">_xlfn.IFS(E83=1,0,E83=2,-1,E83=4,-2,E83=0.5,1,E83=0.25,2,E83=0,4)</f>
        <v>-1</v>
      </c>
      <c r="Y83" s="24" cm="1">
        <f t="array" ref="Y83">_xlfn.IFS(F83=1,0,F83=2,-1,F83=4,-2,F83=0.5,1,F83=0.25,2,F83=0,4)</f>
        <v>1</v>
      </c>
      <c r="Z83" s="24" cm="1">
        <f t="array" ref="Z83">_xlfn.IFS(G83=1,0,G83=2,-1,G83=4,-2,G83=0.5,1,G83=0.25,2,G83=0,4)</f>
        <v>1</v>
      </c>
      <c r="AA83" s="24" cm="1">
        <f t="array" ref="AA83">_xlfn.IFS(H83=1,0,H83=2,-1,H83=4,-2,H83=0.5,1,H83=0.25,2,H83=0,4)</f>
        <v>0</v>
      </c>
      <c r="AB83" s="24" cm="1">
        <f t="array" ref="AB83">_xlfn.IFS(I83=1,0,I83=2,-1,I83=4,-2,I83=0.5,1,I83=0.25,2,I83=0,4)</f>
        <v>-1</v>
      </c>
      <c r="AC83" s="24" cm="1">
        <f t="array" ref="AC83">_xlfn.IFS(J83=1,0,J83=2,-1,J83=4,-2,J83=0.5,1,J83=0.25,2,J83=0,4)</f>
        <v>1</v>
      </c>
      <c r="AD83" s="24" cm="1">
        <f t="array" ref="AD83">_xlfn.IFS(K83=1,0,K83=2,-1,K83=4,-2,K83=0.5,1,K83=0.25,2,K83=0,4)</f>
        <v>-1</v>
      </c>
      <c r="AE83" s="24" cm="1">
        <f t="array" ref="AE83">_xlfn.IFS(L83=1,0,L83=2,-1,L83=4,-2,L83=0.5,1,L83=0.25,2,L83=0,4)</f>
        <v>0</v>
      </c>
      <c r="AF83" s="24" cm="1">
        <f t="array" ref="AF83">_xlfn.IFS(M83=1,0,M83=2,-1,M83=4,-2,M83=0.5,1,M83=0.25,2,M83=0,4)</f>
        <v>4</v>
      </c>
      <c r="AG83" s="24" cm="1">
        <f t="array" ref="AG83">_xlfn.IFS(N83=1,0,N83=2,-1,N83=4,-2,N83=0.5,1,N83=0.25,2,N83=0,4)</f>
        <v>4</v>
      </c>
      <c r="AH83" s="24" cm="1">
        <f t="array" ref="AH83">_xlfn.IFS(O83=1,0,O83=2,-1,O83=4,-2,O83=0.5,1,O83=0.25,2,O83=0,4)</f>
        <v>0</v>
      </c>
      <c r="AI83" s="24" cm="1">
        <f t="array" ref="AI83">_xlfn.IFS(P83=1,0,P83=2,-1,P83=4,-2,P83=0.5,1,P83=0.25,2,P83=0,4)</f>
        <v>4</v>
      </c>
      <c r="AJ83" s="24" cm="1">
        <f t="array" ref="AJ83">_xlfn.IFS(Q83=1,0,Q83=2,-1,Q83=4,-2,Q83=0.5,1,Q83=0.25,2,Q83=0,4)</f>
        <v>0</v>
      </c>
    </row>
    <row r="84" spans="1:36" x14ac:dyDescent="0.2">
      <c r="A84" s="22" t="s">
        <v>7</v>
      </c>
      <c r="B84" s="22" t="s">
        <v>13</v>
      </c>
      <c r="C84" s="24">
        <f>INDEX(Output!$B$3:$P$17,MATCH('Defensive Summary'!C$1,Output!$A$3:$A$17,0),MATCH('Defensive Summary'!$A84,Output!$B$2:$P$2,0))*INDEX(Output!$B$3:$P$17,MATCH('Defensive Summary'!C$1,Output!$A$3:$A$17,0),MATCH('Defensive Summary'!$B84,Output!$B$2:$P$2,0))</f>
        <v>1</v>
      </c>
      <c r="D84" s="24">
        <f>INDEX(Output!$B$3:$P$17,MATCH('Defensive Summary'!D$1,Output!$A$3:$A$17,0),MATCH('Defensive Summary'!$A84,Output!$B$2:$P$2,0))*INDEX(Output!$B$3:$P$17,MATCH('Defensive Summary'!D$1,Output!$A$3:$A$17,0),MATCH('Defensive Summary'!$B84,Output!$B$2:$P$2,0))</f>
        <v>0.5</v>
      </c>
      <c r="E84" s="24">
        <f>INDEX(Output!$B$3:$P$17,MATCH('Defensive Summary'!E$1,Output!$A$3:$A$17,0),MATCH('Defensive Summary'!$A84,Output!$B$2:$P$2,0))*INDEX(Output!$B$3:$P$17,MATCH('Defensive Summary'!E$1,Output!$A$3:$A$17,0),MATCH('Defensive Summary'!$B84,Output!$B$2:$P$2,0))</f>
        <v>1</v>
      </c>
      <c r="F84" s="24">
        <f>INDEX(Output!$B$3:$P$17,MATCH('Defensive Summary'!F$1,Output!$A$3:$A$17,0),MATCH('Defensive Summary'!$A84,Output!$B$2:$P$2,0))*INDEX(Output!$B$3:$P$17,MATCH('Defensive Summary'!F$1,Output!$A$3:$A$17,0),MATCH('Defensive Summary'!$B84,Output!$B$2:$P$2,0))</f>
        <v>0.5</v>
      </c>
      <c r="G84" s="24">
        <f>INDEX(Output!$B$3:$P$17,MATCH('Defensive Summary'!G$1,Output!$A$3:$A$17,0),MATCH('Defensive Summary'!$A84,Output!$B$2:$P$2,0))*INDEX(Output!$B$3:$P$17,MATCH('Defensive Summary'!G$1,Output!$A$3:$A$17,0),MATCH('Defensive Summary'!$B84,Output!$B$2:$P$2,0))</f>
        <v>1</v>
      </c>
      <c r="H84" s="24">
        <f>INDEX(Output!$B$3:$P$17,MATCH('Defensive Summary'!H$1,Output!$A$3:$A$17,0),MATCH('Defensive Summary'!$A84,Output!$B$2:$P$2,0))*INDEX(Output!$B$3:$P$17,MATCH('Defensive Summary'!H$1,Output!$A$3:$A$17,0),MATCH('Defensive Summary'!$B84,Output!$B$2:$P$2,0))</f>
        <v>0.25</v>
      </c>
      <c r="I84" s="24">
        <f>INDEX(Output!$B$3:$P$17,MATCH('Defensive Summary'!I$1,Output!$A$3:$A$17,0),MATCH('Defensive Summary'!$A84,Output!$B$2:$P$2,0))*INDEX(Output!$B$3:$P$17,MATCH('Defensive Summary'!I$1,Output!$A$3:$A$17,0),MATCH('Defensive Summary'!$B84,Output!$B$2:$P$2,0))</f>
        <v>0.5</v>
      </c>
      <c r="J84" s="24">
        <f>INDEX(Output!$B$3:$P$17,MATCH('Defensive Summary'!J$1,Output!$A$3:$A$17,0),MATCH('Defensive Summary'!$A84,Output!$B$2:$P$2,0))*INDEX(Output!$B$3:$P$17,MATCH('Defensive Summary'!J$1,Output!$A$3:$A$17,0),MATCH('Defensive Summary'!$B84,Output!$B$2:$P$2,0))</f>
        <v>1</v>
      </c>
      <c r="K84" s="24">
        <f>INDEX(Output!$B$3:$P$17,MATCH('Defensive Summary'!K$1,Output!$A$3:$A$17,0),MATCH('Defensive Summary'!$A84,Output!$B$2:$P$2,0))*INDEX(Output!$B$3:$P$17,MATCH('Defensive Summary'!K$1,Output!$A$3:$A$17,0),MATCH('Defensive Summary'!$B84,Output!$B$2:$P$2,0))</f>
        <v>4</v>
      </c>
      <c r="L84" s="24">
        <f>INDEX(Output!$B$3:$P$17,MATCH('Defensive Summary'!L$1,Output!$A$3:$A$17,0),MATCH('Defensive Summary'!$A84,Output!$B$2:$P$2,0))*INDEX(Output!$B$3:$P$17,MATCH('Defensive Summary'!L$1,Output!$A$3:$A$17,0),MATCH('Defensive Summary'!$B84,Output!$B$2:$P$2,0))</f>
        <v>0.5</v>
      </c>
      <c r="M84" s="24">
        <f>INDEX(Output!$B$3:$P$17,MATCH('Defensive Summary'!M$1,Output!$A$3:$A$17,0),MATCH('Defensive Summary'!$A84,Output!$B$2:$P$2,0))*INDEX(Output!$B$3:$P$17,MATCH('Defensive Summary'!M$1,Output!$A$3:$A$17,0),MATCH('Defensive Summary'!$B84,Output!$B$2:$P$2,0))</f>
        <v>0</v>
      </c>
      <c r="N84" s="24">
        <f>INDEX(Output!$B$3:$P$17,MATCH('Defensive Summary'!N$1,Output!$A$3:$A$17,0),MATCH('Defensive Summary'!$A84,Output!$B$2:$P$2,0))*INDEX(Output!$B$3:$P$17,MATCH('Defensive Summary'!N$1,Output!$A$3:$A$17,0),MATCH('Defensive Summary'!$B84,Output!$B$2:$P$2,0))</f>
        <v>1</v>
      </c>
      <c r="O84" s="24">
        <f>INDEX(Output!$B$3:$P$17,MATCH('Defensive Summary'!O$1,Output!$A$3:$A$17,0),MATCH('Defensive Summary'!$A84,Output!$B$2:$P$2,0))*INDEX(Output!$B$3:$P$17,MATCH('Defensive Summary'!O$1,Output!$A$3:$A$17,0),MATCH('Defensive Summary'!$B84,Output!$B$2:$P$2,0))</f>
        <v>4</v>
      </c>
      <c r="P84" s="24">
        <f>INDEX(Output!$B$3:$P$17,MATCH('Defensive Summary'!P$1,Output!$A$3:$A$17,0),MATCH('Defensive Summary'!$A84,Output!$B$2:$P$2,0))*INDEX(Output!$B$3:$P$17,MATCH('Defensive Summary'!P$1,Output!$A$3:$A$17,0),MATCH('Defensive Summary'!$B84,Output!$B$2:$P$2,0))</f>
        <v>1</v>
      </c>
      <c r="Q84" s="24">
        <f>INDEX(Output!$B$3:$P$17,MATCH('Defensive Summary'!Q$1,Output!$A$3:$A$17,0),MATCH('Defensive Summary'!$A84,Output!$B$2:$P$2,0))*INDEX(Output!$B$3:$P$17,MATCH('Defensive Summary'!Q$1,Output!$A$3:$A$17,0),MATCH('Defensive Summary'!$B84,Output!$B$2:$P$2,0))</f>
        <v>1</v>
      </c>
      <c r="R84" s="24"/>
      <c r="S84" s="25">
        <f t="shared" si="1"/>
        <v>6</v>
      </c>
      <c r="T84" s="22" t="s">
        <v>7</v>
      </c>
      <c r="U84" s="22" t="s">
        <v>13</v>
      </c>
      <c r="V84" s="24" cm="1">
        <f t="array" ref="V84">_xlfn.IFS(C84=1,0,C84=2,-1,C84=4,-2,C84=0.5,1,C84=0.25,2,C84=0,4)</f>
        <v>0</v>
      </c>
      <c r="W84" s="24" cm="1">
        <f t="array" ref="W84">_xlfn.IFS(D84=1,0,D84=2,-1,D84=4,-2,D84=0.5,1,D84=0.25,2,D84=0,4)</f>
        <v>1</v>
      </c>
      <c r="X84" s="24" cm="1">
        <f t="array" ref="X84">_xlfn.IFS(E84=1,0,E84=2,-1,E84=4,-2,E84=0.5,1,E84=0.25,2,E84=0,4)</f>
        <v>0</v>
      </c>
      <c r="Y84" s="24" cm="1">
        <f t="array" ref="Y84">_xlfn.IFS(F84=1,0,F84=2,-1,F84=4,-2,F84=0.5,1,F84=0.25,2,F84=0,4)</f>
        <v>1</v>
      </c>
      <c r="Z84" s="24" cm="1">
        <f t="array" ref="Z84">_xlfn.IFS(G84=1,0,G84=2,-1,G84=4,-2,G84=0.5,1,G84=0.25,2,G84=0,4)</f>
        <v>0</v>
      </c>
      <c r="AA84" s="24" cm="1">
        <f t="array" ref="AA84">_xlfn.IFS(H84=1,0,H84=2,-1,H84=4,-2,H84=0.5,1,H84=0.25,2,H84=0,4)</f>
        <v>2</v>
      </c>
      <c r="AB84" s="24" cm="1">
        <f t="array" ref="AB84">_xlfn.IFS(I84=1,0,I84=2,-1,I84=4,-2,I84=0.5,1,I84=0.25,2,I84=0,4)</f>
        <v>1</v>
      </c>
      <c r="AC84" s="24" cm="1">
        <f t="array" ref="AC84">_xlfn.IFS(J84=1,0,J84=2,-1,J84=4,-2,J84=0.5,1,J84=0.25,2,J84=0,4)</f>
        <v>0</v>
      </c>
      <c r="AD84" s="24" cm="1">
        <f t="array" ref="AD84">_xlfn.IFS(K84=1,0,K84=2,-1,K84=4,-2,K84=0.5,1,K84=0.25,2,K84=0,4)</f>
        <v>-2</v>
      </c>
      <c r="AE84" s="24" cm="1">
        <f t="array" ref="AE84">_xlfn.IFS(L84=1,0,L84=2,-1,L84=4,-2,L84=0.5,1,L84=0.25,2,L84=0,4)</f>
        <v>1</v>
      </c>
      <c r="AF84" s="24" cm="1">
        <f t="array" ref="AF84">_xlfn.IFS(M84=1,0,M84=2,-1,M84=4,-2,M84=0.5,1,M84=0.25,2,M84=0,4)</f>
        <v>4</v>
      </c>
      <c r="AG84" s="24" cm="1">
        <f t="array" ref="AG84">_xlfn.IFS(N84=1,0,N84=2,-1,N84=4,-2,N84=0.5,1,N84=0.25,2,N84=0,4)</f>
        <v>0</v>
      </c>
      <c r="AH84" s="24" cm="1">
        <f t="array" ref="AH84">_xlfn.IFS(O84=1,0,O84=2,-1,O84=4,-2,O84=0.5,1,O84=0.25,2,O84=0,4)</f>
        <v>-2</v>
      </c>
      <c r="AI84" s="24" cm="1">
        <f t="array" ref="AI84">_xlfn.IFS(P84=1,0,P84=2,-1,P84=4,-2,P84=0.5,1,P84=0.25,2,P84=0,4)</f>
        <v>0</v>
      </c>
      <c r="AJ84" s="24" cm="1">
        <f t="array" ref="AJ84">_xlfn.IFS(Q84=1,0,Q84=2,-1,Q84=4,-2,Q84=0.5,1,Q84=0.25,2,Q84=0,4)</f>
        <v>0</v>
      </c>
    </row>
    <row r="85" spans="1:36" x14ac:dyDescent="0.2">
      <c r="A85" s="22" t="s">
        <v>7</v>
      </c>
      <c r="B85" s="22" t="s">
        <v>14</v>
      </c>
      <c r="C85" s="24">
        <f>INDEX(Output!$B$3:$P$17,MATCH('Defensive Summary'!C$1,Output!$A$3:$A$17,0),MATCH('Defensive Summary'!$A85,Output!$B$2:$P$2,0))*INDEX(Output!$B$3:$P$17,MATCH('Defensive Summary'!C$1,Output!$A$3:$A$17,0),MATCH('Defensive Summary'!$B85,Output!$B$2:$P$2,0))</f>
        <v>1</v>
      </c>
      <c r="D85" s="24">
        <f>INDEX(Output!$B$3:$P$17,MATCH('Defensive Summary'!D$1,Output!$A$3:$A$17,0),MATCH('Defensive Summary'!$A85,Output!$B$2:$P$2,0))*INDEX(Output!$B$3:$P$17,MATCH('Defensive Summary'!D$1,Output!$A$3:$A$17,0),MATCH('Defensive Summary'!$B85,Output!$B$2:$P$2,0))</f>
        <v>1</v>
      </c>
      <c r="E85" s="24">
        <f>INDEX(Output!$B$3:$P$17,MATCH('Defensive Summary'!E$1,Output!$A$3:$A$17,0),MATCH('Defensive Summary'!$A85,Output!$B$2:$P$2,0))*INDEX(Output!$B$3:$P$17,MATCH('Defensive Summary'!E$1,Output!$A$3:$A$17,0),MATCH('Defensive Summary'!$B85,Output!$B$2:$P$2,0))</f>
        <v>1</v>
      </c>
      <c r="F85" s="24">
        <f>INDEX(Output!$B$3:$P$17,MATCH('Defensive Summary'!F$1,Output!$A$3:$A$17,0),MATCH('Defensive Summary'!$A85,Output!$B$2:$P$2,0))*INDEX(Output!$B$3:$P$17,MATCH('Defensive Summary'!F$1,Output!$A$3:$A$17,0),MATCH('Defensive Summary'!$B85,Output!$B$2:$P$2,0))</f>
        <v>0.5</v>
      </c>
      <c r="G85" s="24">
        <f>INDEX(Output!$B$3:$P$17,MATCH('Defensive Summary'!G$1,Output!$A$3:$A$17,0),MATCH('Defensive Summary'!$A85,Output!$B$2:$P$2,0))*INDEX(Output!$B$3:$P$17,MATCH('Defensive Summary'!G$1,Output!$A$3:$A$17,0),MATCH('Defensive Summary'!$B85,Output!$B$2:$P$2,0))</f>
        <v>1</v>
      </c>
      <c r="H85" s="24">
        <f>INDEX(Output!$B$3:$P$17,MATCH('Defensive Summary'!H$1,Output!$A$3:$A$17,0),MATCH('Defensive Summary'!$A85,Output!$B$2:$P$2,0))*INDEX(Output!$B$3:$P$17,MATCH('Defensive Summary'!H$1,Output!$A$3:$A$17,0),MATCH('Defensive Summary'!$B85,Output!$B$2:$P$2,0))</f>
        <v>0.5</v>
      </c>
      <c r="I85" s="24">
        <f>INDEX(Output!$B$3:$P$17,MATCH('Defensive Summary'!I$1,Output!$A$3:$A$17,0),MATCH('Defensive Summary'!$A85,Output!$B$2:$P$2,0))*INDEX(Output!$B$3:$P$17,MATCH('Defensive Summary'!I$1,Output!$A$3:$A$17,0),MATCH('Defensive Summary'!$B85,Output!$B$2:$P$2,0))</f>
        <v>1</v>
      </c>
      <c r="J85" s="24">
        <f>INDEX(Output!$B$3:$P$17,MATCH('Defensive Summary'!J$1,Output!$A$3:$A$17,0),MATCH('Defensive Summary'!$A85,Output!$B$2:$P$2,0))*INDEX(Output!$B$3:$P$17,MATCH('Defensive Summary'!J$1,Output!$A$3:$A$17,0),MATCH('Defensive Summary'!$B85,Output!$B$2:$P$2,0))</f>
        <v>1</v>
      </c>
      <c r="K85" s="24">
        <f>INDEX(Output!$B$3:$P$17,MATCH('Defensive Summary'!K$1,Output!$A$3:$A$17,0),MATCH('Defensive Summary'!$A85,Output!$B$2:$P$2,0))*INDEX(Output!$B$3:$P$17,MATCH('Defensive Summary'!K$1,Output!$A$3:$A$17,0),MATCH('Defensive Summary'!$B85,Output!$B$2:$P$2,0))</f>
        <v>2</v>
      </c>
      <c r="L85" s="24">
        <f>INDEX(Output!$B$3:$P$17,MATCH('Defensive Summary'!L$1,Output!$A$3:$A$17,0),MATCH('Defensive Summary'!$A85,Output!$B$2:$P$2,0))*INDEX(Output!$B$3:$P$17,MATCH('Defensive Summary'!L$1,Output!$A$3:$A$17,0),MATCH('Defensive Summary'!$B85,Output!$B$2:$P$2,0))</f>
        <v>0.5</v>
      </c>
      <c r="M85" s="24">
        <f>INDEX(Output!$B$3:$P$17,MATCH('Defensive Summary'!M$1,Output!$A$3:$A$17,0),MATCH('Defensive Summary'!$A85,Output!$B$2:$P$2,0))*INDEX(Output!$B$3:$P$17,MATCH('Defensive Summary'!M$1,Output!$A$3:$A$17,0),MATCH('Defensive Summary'!$B85,Output!$B$2:$P$2,0))</f>
        <v>0</v>
      </c>
      <c r="N85" s="24">
        <f>INDEX(Output!$B$3:$P$17,MATCH('Defensive Summary'!N$1,Output!$A$3:$A$17,0),MATCH('Defensive Summary'!$A85,Output!$B$2:$P$2,0))*INDEX(Output!$B$3:$P$17,MATCH('Defensive Summary'!N$1,Output!$A$3:$A$17,0),MATCH('Defensive Summary'!$B85,Output!$B$2:$P$2,0))</f>
        <v>2</v>
      </c>
      <c r="O85" s="24">
        <f>INDEX(Output!$B$3:$P$17,MATCH('Defensive Summary'!O$1,Output!$A$3:$A$17,0),MATCH('Defensive Summary'!$A85,Output!$B$2:$P$2,0))*INDEX(Output!$B$3:$P$17,MATCH('Defensive Summary'!O$1,Output!$A$3:$A$17,0),MATCH('Defensive Summary'!$B85,Output!$B$2:$P$2,0))</f>
        <v>2</v>
      </c>
      <c r="P85" s="24">
        <f>INDEX(Output!$B$3:$P$17,MATCH('Defensive Summary'!P$1,Output!$A$3:$A$17,0),MATCH('Defensive Summary'!$A85,Output!$B$2:$P$2,0))*INDEX(Output!$B$3:$P$17,MATCH('Defensive Summary'!P$1,Output!$A$3:$A$17,0),MATCH('Defensive Summary'!$B85,Output!$B$2:$P$2,0))</f>
        <v>2</v>
      </c>
      <c r="Q85" s="24">
        <f>INDEX(Output!$B$3:$P$17,MATCH('Defensive Summary'!Q$1,Output!$A$3:$A$17,0),MATCH('Defensive Summary'!$A85,Output!$B$2:$P$2,0))*INDEX(Output!$B$3:$P$17,MATCH('Defensive Summary'!Q$1,Output!$A$3:$A$17,0),MATCH('Defensive Summary'!$B85,Output!$B$2:$P$2,0))</f>
        <v>1</v>
      </c>
      <c r="R85" s="24"/>
      <c r="S85" s="25">
        <f t="shared" si="1"/>
        <v>3</v>
      </c>
      <c r="T85" s="22" t="s">
        <v>7</v>
      </c>
      <c r="U85" s="22" t="s">
        <v>14</v>
      </c>
      <c r="V85" s="24" cm="1">
        <f t="array" ref="V85">_xlfn.IFS(C85=1,0,C85=2,-1,C85=4,-2,C85=0.5,1,C85=0.25,2,C85=0,4)</f>
        <v>0</v>
      </c>
      <c r="W85" s="24" cm="1">
        <f t="array" ref="W85">_xlfn.IFS(D85=1,0,D85=2,-1,D85=4,-2,D85=0.5,1,D85=0.25,2,D85=0,4)</f>
        <v>0</v>
      </c>
      <c r="X85" s="24" cm="1">
        <f t="array" ref="X85">_xlfn.IFS(E85=1,0,E85=2,-1,E85=4,-2,E85=0.5,1,E85=0.25,2,E85=0,4)</f>
        <v>0</v>
      </c>
      <c r="Y85" s="24" cm="1">
        <f t="array" ref="Y85">_xlfn.IFS(F85=1,0,F85=2,-1,F85=4,-2,F85=0.5,1,F85=0.25,2,F85=0,4)</f>
        <v>1</v>
      </c>
      <c r="Z85" s="24" cm="1">
        <f t="array" ref="Z85">_xlfn.IFS(G85=1,0,G85=2,-1,G85=4,-2,G85=0.5,1,G85=0.25,2,G85=0,4)</f>
        <v>0</v>
      </c>
      <c r="AA85" s="24" cm="1">
        <f t="array" ref="AA85">_xlfn.IFS(H85=1,0,H85=2,-1,H85=4,-2,H85=0.5,1,H85=0.25,2,H85=0,4)</f>
        <v>1</v>
      </c>
      <c r="AB85" s="24" cm="1">
        <f t="array" ref="AB85">_xlfn.IFS(I85=1,0,I85=2,-1,I85=4,-2,I85=0.5,1,I85=0.25,2,I85=0,4)</f>
        <v>0</v>
      </c>
      <c r="AC85" s="24" cm="1">
        <f t="array" ref="AC85">_xlfn.IFS(J85=1,0,J85=2,-1,J85=4,-2,J85=0.5,1,J85=0.25,2,J85=0,4)</f>
        <v>0</v>
      </c>
      <c r="AD85" s="24" cm="1">
        <f t="array" ref="AD85">_xlfn.IFS(K85=1,0,K85=2,-1,K85=4,-2,K85=0.5,1,K85=0.25,2,K85=0,4)</f>
        <v>-1</v>
      </c>
      <c r="AE85" s="24" cm="1">
        <f t="array" ref="AE85">_xlfn.IFS(L85=1,0,L85=2,-1,L85=4,-2,L85=0.5,1,L85=0.25,2,L85=0,4)</f>
        <v>1</v>
      </c>
      <c r="AF85" s="24" cm="1">
        <f t="array" ref="AF85">_xlfn.IFS(M85=1,0,M85=2,-1,M85=4,-2,M85=0.5,1,M85=0.25,2,M85=0,4)</f>
        <v>4</v>
      </c>
      <c r="AG85" s="24" cm="1">
        <f t="array" ref="AG85">_xlfn.IFS(N85=1,0,N85=2,-1,N85=4,-2,N85=0.5,1,N85=0.25,2,N85=0,4)</f>
        <v>-1</v>
      </c>
      <c r="AH85" s="24" cm="1">
        <f t="array" ref="AH85">_xlfn.IFS(O85=1,0,O85=2,-1,O85=4,-2,O85=0.5,1,O85=0.25,2,O85=0,4)</f>
        <v>-1</v>
      </c>
      <c r="AI85" s="24" cm="1">
        <f t="array" ref="AI85">_xlfn.IFS(P85=1,0,P85=2,-1,P85=4,-2,P85=0.5,1,P85=0.25,2,P85=0,4)</f>
        <v>-1</v>
      </c>
      <c r="AJ85" s="24" cm="1">
        <f t="array" ref="AJ85">_xlfn.IFS(Q85=1,0,Q85=2,-1,Q85=4,-2,Q85=0.5,1,Q85=0.25,2,Q85=0,4)</f>
        <v>0</v>
      </c>
    </row>
    <row r="86" spans="1:36" x14ac:dyDescent="0.2">
      <c r="A86" s="22" t="s">
        <v>8</v>
      </c>
      <c r="B86" s="22" t="s">
        <v>9</v>
      </c>
      <c r="C86" s="24">
        <f>INDEX(Output!$B$3:$P$17,MATCH('Defensive Summary'!C$1,Output!$A$3:$A$17,0),MATCH('Defensive Summary'!$A86,Output!$B$2:$P$2,0))*INDEX(Output!$B$3:$P$17,MATCH('Defensive Summary'!C$1,Output!$A$3:$A$17,0),MATCH('Defensive Summary'!$B86,Output!$B$2:$P$2,0))</f>
        <v>0.5</v>
      </c>
      <c r="D86" s="24">
        <f>INDEX(Output!$B$3:$P$17,MATCH('Defensive Summary'!D$1,Output!$A$3:$A$17,0),MATCH('Defensive Summary'!$A86,Output!$B$2:$P$2,0))*INDEX(Output!$B$3:$P$17,MATCH('Defensive Summary'!D$1,Output!$A$3:$A$17,0),MATCH('Defensive Summary'!$B86,Output!$B$2:$P$2,0))</f>
        <v>0.5</v>
      </c>
      <c r="E86" s="24">
        <f>INDEX(Output!$B$3:$P$17,MATCH('Defensive Summary'!E$1,Output!$A$3:$A$17,0),MATCH('Defensive Summary'!$A86,Output!$B$2:$P$2,0))*INDEX(Output!$B$3:$P$17,MATCH('Defensive Summary'!E$1,Output!$A$3:$A$17,0),MATCH('Defensive Summary'!$B86,Output!$B$2:$P$2,0))</f>
        <v>1</v>
      </c>
      <c r="F86" s="24">
        <f>INDEX(Output!$B$3:$P$17,MATCH('Defensive Summary'!F$1,Output!$A$3:$A$17,0),MATCH('Defensive Summary'!$A86,Output!$B$2:$P$2,0))*INDEX(Output!$B$3:$P$17,MATCH('Defensive Summary'!F$1,Output!$A$3:$A$17,0),MATCH('Defensive Summary'!$B86,Output!$B$2:$P$2,0))</f>
        <v>0.5</v>
      </c>
      <c r="G86" s="24">
        <f>INDEX(Output!$B$3:$P$17,MATCH('Defensive Summary'!G$1,Output!$A$3:$A$17,0),MATCH('Defensive Summary'!$A86,Output!$B$2:$P$2,0))*INDEX(Output!$B$3:$P$17,MATCH('Defensive Summary'!G$1,Output!$A$3:$A$17,0),MATCH('Defensive Summary'!$B86,Output!$B$2:$P$2,0))</f>
        <v>2</v>
      </c>
      <c r="H86" s="24">
        <f>INDEX(Output!$B$3:$P$17,MATCH('Defensive Summary'!H$1,Output!$A$3:$A$17,0),MATCH('Defensive Summary'!$A86,Output!$B$2:$P$2,0))*INDEX(Output!$B$3:$P$17,MATCH('Defensive Summary'!H$1,Output!$A$3:$A$17,0),MATCH('Defensive Summary'!$B86,Output!$B$2:$P$2,0))</f>
        <v>2</v>
      </c>
      <c r="I86" s="24">
        <f>INDEX(Output!$B$3:$P$17,MATCH('Defensive Summary'!I$1,Output!$A$3:$A$17,0),MATCH('Defensive Summary'!$A86,Output!$B$2:$P$2,0))*INDEX(Output!$B$3:$P$17,MATCH('Defensive Summary'!I$1,Output!$A$3:$A$17,0),MATCH('Defensive Summary'!$B86,Output!$B$2:$P$2,0))</f>
        <v>1</v>
      </c>
      <c r="J86" s="24">
        <f>INDEX(Output!$B$3:$P$17,MATCH('Defensive Summary'!J$1,Output!$A$3:$A$17,0),MATCH('Defensive Summary'!$A86,Output!$B$2:$P$2,0))*INDEX(Output!$B$3:$P$17,MATCH('Defensive Summary'!J$1,Output!$A$3:$A$17,0),MATCH('Defensive Summary'!$B86,Output!$B$2:$P$2,0))</f>
        <v>0</v>
      </c>
      <c r="K86" s="24">
        <f>INDEX(Output!$B$3:$P$17,MATCH('Defensive Summary'!K$1,Output!$A$3:$A$17,0),MATCH('Defensive Summary'!$A86,Output!$B$2:$P$2,0))*INDEX(Output!$B$3:$P$17,MATCH('Defensive Summary'!K$1,Output!$A$3:$A$17,0),MATCH('Defensive Summary'!$B86,Output!$B$2:$P$2,0))</f>
        <v>0</v>
      </c>
      <c r="L86" s="24">
        <f>INDEX(Output!$B$3:$P$17,MATCH('Defensive Summary'!L$1,Output!$A$3:$A$17,0),MATCH('Defensive Summary'!$A86,Output!$B$2:$P$2,0))*INDEX(Output!$B$3:$P$17,MATCH('Defensive Summary'!L$1,Output!$A$3:$A$17,0),MATCH('Defensive Summary'!$B86,Output!$B$2:$P$2,0))</f>
        <v>2</v>
      </c>
      <c r="M86" s="24">
        <f>INDEX(Output!$B$3:$P$17,MATCH('Defensive Summary'!M$1,Output!$A$3:$A$17,0),MATCH('Defensive Summary'!$A86,Output!$B$2:$P$2,0))*INDEX(Output!$B$3:$P$17,MATCH('Defensive Summary'!M$1,Output!$A$3:$A$17,0),MATCH('Defensive Summary'!$B86,Output!$B$2:$P$2,0))</f>
        <v>1</v>
      </c>
      <c r="N86" s="24">
        <f>INDEX(Output!$B$3:$P$17,MATCH('Defensive Summary'!N$1,Output!$A$3:$A$17,0),MATCH('Defensive Summary'!$A86,Output!$B$2:$P$2,0))*INDEX(Output!$B$3:$P$17,MATCH('Defensive Summary'!N$1,Output!$A$3:$A$17,0),MATCH('Defensive Summary'!$B86,Output!$B$2:$P$2,0))</f>
        <v>1</v>
      </c>
      <c r="O86" s="24">
        <f>INDEX(Output!$B$3:$P$17,MATCH('Defensive Summary'!O$1,Output!$A$3:$A$17,0),MATCH('Defensive Summary'!$A86,Output!$B$2:$P$2,0))*INDEX(Output!$B$3:$P$17,MATCH('Defensive Summary'!O$1,Output!$A$3:$A$17,0),MATCH('Defensive Summary'!$B86,Output!$B$2:$P$2,0))</f>
        <v>0.5</v>
      </c>
      <c r="P86" s="24">
        <f>INDEX(Output!$B$3:$P$17,MATCH('Defensive Summary'!P$1,Output!$A$3:$A$17,0),MATCH('Defensive Summary'!$A86,Output!$B$2:$P$2,0))*INDEX(Output!$B$3:$P$17,MATCH('Defensive Summary'!P$1,Output!$A$3:$A$17,0),MATCH('Defensive Summary'!$B86,Output!$B$2:$P$2,0))</f>
        <v>1</v>
      </c>
      <c r="Q86" s="24">
        <f>INDEX(Output!$B$3:$P$17,MATCH('Defensive Summary'!Q$1,Output!$A$3:$A$17,0),MATCH('Defensive Summary'!$A86,Output!$B$2:$P$2,0))*INDEX(Output!$B$3:$P$17,MATCH('Defensive Summary'!Q$1,Output!$A$3:$A$17,0),MATCH('Defensive Summary'!$B86,Output!$B$2:$P$2,0))</f>
        <v>1</v>
      </c>
      <c r="R86" s="24"/>
      <c r="S86" s="25">
        <f t="shared" si="1"/>
        <v>9</v>
      </c>
      <c r="T86" s="22" t="s">
        <v>8</v>
      </c>
      <c r="U86" s="22" t="s">
        <v>9</v>
      </c>
      <c r="V86" s="24" cm="1">
        <f t="array" ref="V86">_xlfn.IFS(C86=1,0,C86=2,-1,C86=4,-2,C86=0.5,1,C86=0.25,2,C86=0,4)</f>
        <v>1</v>
      </c>
      <c r="W86" s="24" cm="1">
        <f t="array" ref="W86">_xlfn.IFS(D86=1,0,D86=2,-1,D86=4,-2,D86=0.5,1,D86=0.25,2,D86=0,4)</f>
        <v>1</v>
      </c>
      <c r="X86" s="24" cm="1">
        <f t="array" ref="X86">_xlfn.IFS(E86=1,0,E86=2,-1,E86=4,-2,E86=0.5,1,E86=0.25,2,E86=0,4)</f>
        <v>0</v>
      </c>
      <c r="Y86" s="24" cm="1">
        <f t="array" ref="Y86">_xlfn.IFS(F86=1,0,F86=2,-1,F86=4,-2,F86=0.5,1,F86=0.25,2,F86=0,4)</f>
        <v>1</v>
      </c>
      <c r="Z86" s="24" cm="1">
        <f t="array" ref="Z86">_xlfn.IFS(G86=1,0,G86=2,-1,G86=4,-2,G86=0.5,1,G86=0.25,2,G86=0,4)</f>
        <v>-1</v>
      </c>
      <c r="AA86" s="24" cm="1">
        <f t="array" ref="AA86">_xlfn.IFS(H86=1,0,H86=2,-1,H86=4,-2,H86=0.5,1,H86=0.25,2,H86=0,4)</f>
        <v>-1</v>
      </c>
      <c r="AB86" s="24" cm="1">
        <f t="array" ref="AB86">_xlfn.IFS(I86=1,0,I86=2,-1,I86=4,-2,I86=0.5,1,I86=0.25,2,I86=0,4)</f>
        <v>0</v>
      </c>
      <c r="AC86" s="24" cm="1">
        <f t="array" ref="AC86">_xlfn.IFS(J86=1,0,J86=2,-1,J86=4,-2,J86=0.5,1,J86=0.25,2,J86=0,4)</f>
        <v>4</v>
      </c>
      <c r="AD86" s="24" cm="1">
        <f t="array" ref="AD86">_xlfn.IFS(K86=1,0,K86=2,-1,K86=4,-2,K86=0.5,1,K86=0.25,2,K86=0,4)</f>
        <v>4</v>
      </c>
      <c r="AE86" s="24" cm="1">
        <f t="array" ref="AE86">_xlfn.IFS(L86=1,0,L86=2,-1,L86=4,-2,L86=0.5,1,L86=0.25,2,L86=0,4)</f>
        <v>-1</v>
      </c>
      <c r="AF86" s="24" cm="1">
        <f t="array" ref="AF86">_xlfn.IFS(M86=1,0,M86=2,-1,M86=4,-2,M86=0.5,1,M86=0.25,2,M86=0,4)</f>
        <v>0</v>
      </c>
      <c r="AG86" s="24" cm="1">
        <f t="array" ref="AG86">_xlfn.IFS(N86=1,0,N86=2,-1,N86=4,-2,N86=0.5,1,N86=0.25,2,N86=0,4)</f>
        <v>0</v>
      </c>
      <c r="AH86" s="24" cm="1">
        <f t="array" ref="AH86">_xlfn.IFS(O86=1,0,O86=2,-1,O86=4,-2,O86=0.5,1,O86=0.25,2,O86=0,4)</f>
        <v>1</v>
      </c>
      <c r="AI86" s="24" cm="1">
        <f t="array" ref="AI86">_xlfn.IFS(P86=1,0,P86=2,-1,P86=4,-2,P86=0.5,1,P86=0.25,2,P86=0,4)</f>
        <v>0</v>
      </c>
      <c r="AJ86" s="24" cm="1">
        <f t="array" ref="AJ86">_xlfn.IFS(Q86=1,0,Q86=2,-1,Q86=4,-2,Q86=0.5,1,Q86=0.25,2,Q86=0,4)</f>
        <v>0</v>
      </c>
    </row>
    <row r="87" spans="1:36" x14ac:dyDescent="0.2">
      <c r="A87" s="22" t="s">
        <v>8</v>
      </c>
      <c r="B87" s="22" t="s">
        <v>10</v>
      </c>
      <c r="C87" s="24">
        <f>INDEX(Output!$B$3:$P$17,MATCH('Defensive Summary'!C$1,Output!$A$3:$A$17,0),MATCH('Defensive Summary'!$A87,Output!$B$2:$P$2,0))*INDEX(Output!$B$3:$P$17,MATCH('Defensive Summary'!C$1,Output!$A$3:$A$17,0),MATCH('Defensive Summary'!$B87,Output!$B$2:$P$2,0))</f>
        <v>1</v>
      </c>
      <c r="D87" s="24">
        <f>INDEX(Output!$B$3:$P$17,MATCH('Defensive Summary'!D$1,Output!$A$3:$A$17,0),MATCH('Defensive Summary'!$A87,Output!$B$2:$P$2,0))*INDEX(Output!$B$3:$P$17,MATCH('Defensive Summary'!D$1,Output!$A$3:$A$17,0),MATCH('Defensive Summary'!$B87,Output!$B$2:$P$2,0))</f>
        <v>0.5</v>
      </c>
      <c r="E87" s="24">
        <f>INDEX(Output!$B$3:$P$17,MATCH('Defensive Summary'!E$1,Output!$A$3:$A$17,0),MATCH('Defensive Summary'!$A87,Output!$B$2:$P$2,0))*INDEX(Output!$B$3:$P$17,MATCH('Defensive Summary'!E$1,Output!$A$3:$A$17,0),MATCH('Defensive Summary'!$B87,Output!$B$2:$P$2,0))</f>
        <v>0.5</v>
      </c>
      <c r="F87" s="24">
        <f>INDEX(Output!$B$3:$P$17,MATCH('Defensive Summary'!F$1,Output!$A$3:$A$17,0),MATCH('Defensive Summary'!$A87,Output!$B$2:$P$2,0))*INDEX(Output!$B$3:$P$17,MATCH('Defensive Summary'!F$1,Output!$A$3:$A$17,0),MATCH('Defensive Summary'!$B87,Output!$B$2:$P$2,0))</f>
        <v>0.5</v>
      </c>
      <c r="G87" s="24">
        <f>INDEX(Output!$B$3:$P$17,MATCH('Defensive Summary'!G$1,Output!$A$3:$A$17,0),MATCH('Defensive Summary'!$A87,Output!$B$2:$P$2,0))*INDEX(Output!$B$3:$P$17,MATCH('Defensive Summary'!G$1,Output!$A$3:$A$17,0),MATCH('Defensive Summary'!$B87,Output!$B$2:$P$2,0))</f>
        <v>4</v>
      </c>
      <c r="H87" s="24">
        <f>INDEX(Output!$B$3:$P$17,MATCH('Defensive Summary'!H$1,Output!$A$3:$A$17,0),MATCH('Defensive Summary'!$A87,Output!$B$2:$P$2,0))*INDEX(Output!$B$3:$P$17,MATCH('Defensive Summary'!H$1,Output!$A$3:$A$17,0),MATCH('Defensive Summary'!$B87,Output!$B$2:$P$2,0))</f>
        <v>4</v>
      </c>
      <c r="I87" s="24">
        <f>INDEX(Output!$B$3:$P$17,MATCH('Defensive Summary'!I$1,Output!$A$3:$A$17,0),MATCH('Defensive Summary'!$A87,Output!$B$2:$P$2,0))*INDEX(Output!$B$3:$P$17,MATCH('Defensive Summary'!I$1,Output!$A$3:$A$17,0),MATCH('Defensive Summary'!$B87,Output!$B$2:$P$2,0))</f>
        <v>0.5</v>
      </c>
      <c r="J87" s="24">
        <f>INDEX(Output!$B$3:$P$17,MATCH('Defensive Summary'!J$1,Output!$A$3:$A$17,0),MATCH('Defensive Summary'!$A87,Output!$B$2:$P$2,0))*INDEX(Output!$B$3:$P$17,MATCH('Defensive Summary'!J$1,Output!$A$3:$A$17,0),MATCH('Defensive Summary'!$B87,Output!$B$2:$P$2,0))</f>
        <v>0</v>
      </c>
      <c r="K87" s="24">
        <f>INDEX(Output!$B$3:$P$17,MATCH('Defensive Summary'!K$1,Output!$A$3:$A$17,0),MATCH('Defensive Summary'!$A87,Output!$B$2:$P$2,0))*INDEX(Output!$B$3:$P$17,MATCH('Defensive Summary'!K$1,Output!$A$3:$A$17,0),MATCH('Defensive Summary'!$B87,Output!$B$2:$P$2,0))</f>
        <v>0.5</v>
      </c>
      <c r="L87" s="24">
        <f>INDEX(Output!$B$3:$P$17,MATCH('Defensive Summary'!L$1,Output!$A$3:$A$17,0),MATCH('Defensive Summary'!$A87,Output!$B$2:$P$2,0))*INDEX(Output!$B$3:$P$17,MATCH('Defensive Summary'!L$1,Output!$A$3:$A$17,0),MATCH('Defensive Summary'!$B87,Output!$B$2:$P$2,0))</f>
        <v>0</v>
      </c>
      <c r="M87" s="24">
        <f>INDEX(Output!$B$3:$P$17,MATCH('Defensive Summary'!M$1,Output!$A$3:$A$17,0),MATCH('Defensive Summary'!$A87,Output!$B$2:$P$2,0))*INDEX(Output!$B$3:$P$17,MATCH('Defensive Summary'!M$1,Output!$A$3:$A$17,0),MATCH('Defensive Summary'!$B87,Output!$B$2:$P$2,0))</f>
        <v>0.5</v>
      </c>
      <c r="N87" s="24">
        <f>INDEX(Output!$B$3:$P$17,MATCH('Defensive Summary'!N$1,Output!$A$3:$A$17,0),MATCH('Defensive Summary'!$A87,Output!$B$2:$P$2,0))*INDEX(Output!$B$3:$P$17,MATCH('Defensive Summary'!N$1,Output!$A$3:$A$17,0),MATCH('Defensive Summary'!$B87,Output!$B$2:$P$2,0))</f>
        <v>0.5</v>
      </c>
      <c r="O87" s="24">
        <f>INDEX(Output!$B$3:$P$17,MATCH('Defensive Summary'!O$1,Output!$A$3:$A$17,0),MATCH('Defensive Summary'!$A87,Output!$B$2:$P$2,0))*INDEX(Output!$B$3:$P$17,MATCH('Defensive Summary'!O$1,Output!$A$3:$A$17,0),MATCH('Defensive Summary'!$B87,Output!$B$2:$P$2,0))</f>
        <v>0.5</v>
      </c>
      <c r="P87" s="24">
        <f>INDEX(Output!$B$3:$P$17,MATCH('Defensive Summary'!P$1,Output!$A$3:$A$17,0),MATCH('Defensive Summary'!$A87,Output!$B$2:$P$2,0))*INDEX(Output!$B$3:$P$17,MATCH('Defensive Summary'!P$1,Output!$A$3:$A$17,0),MATCH('Defensive Summary'!$B87,Output!$B$2:$P$2,0))</f>
        <v>0.5</v>
      </c>
      <c r="Q87" s="24">
        <f>INDEX(Output!$B$3:$P$17,MATCH('Defensive Summary'!Q$1,Output!$A$3:$A$17,0),MATCH('Defensive Summary'!$A87,Output!$B$2:$P$2,0))*INDEX(Output!$B$3:$P$17,MATCH('Defensive Summary'!Q$1,Output!$A$3:$A$17,0),MATCH('Defensive Summary'!$B87,Output!$B$2:$P$2,0))</f>
        <v>1</v>
      </c>
      <c r="R87" s="24"/>
      <c r="S87" s="25">
        <f t="shared" si="1"/>
        <v>13</v>
      </c>
      <c r="T87" s="22" t="s">
        <v>8</v>
      </c>
      <c r="U87" s="22" t="s">
        <v>10</v>
      </c>
      <c r="V87" s="24" cm="1">
        <f t="array" ref="V87">_xlfn.IFS(C87=1,0,C87=2,-1,C87=4,-2,C87=0.5,1,C87=0.25,2,C87=0,4)</f>
        <v>0</v>
      </c>
      <c r="W87" s="24" cm="1">
        <f t="array" ref="W87">_xlfn.IFS(D87=1,0,D87=2,-1,D87=4,-2,D87=0.5,1,D87=0.25,2,D87=0,4)</f>
        <v>1</v>
      </c>
      <c r="X87" s="24" cm="1">
        <f t="array" ref="X87">_xlfn.IFS(E87=1,0,E87=2,-1,E87=4,-2,E87=0.5,1,E87=0.25,2,E87=0,4)</f>
        <v>1</v>
      </c>
      <c r="Y87" s="24" cm="1">
        <f t="array" ref="Y87">_xlfn.IFS(F87=1,0,F87=2,-1,F87=4,-2,F87=0.5,1,F87=0.25,2,F87=0,4)</f>
        <v>1</v>
      </c>
      <c r="Z87" s="24" cm="1">
        <f t="array" ref="Z87">_xlfn.IFS(G87=1,0,G87=2,-1,G87=4,-2,G87=0.5,1,G87=0.25,2,G87=0,4)</f>
        <v>-2</v>
      </c>
      <c r="AA87" s="24" cm="1">
        <f t="array" ref="AA87">_xlfn.IFS(H87=1,0,H87=2,-1,H87=4,-2,H87=0.5,1,H87=0.25,2,H87=0,4)</f>
        <v>-2</v>
      </c>
      <c r="AB87" s="24" cm="1">
        <f t="array" ref="AB87">_xlfn.IFS(I87=1,0,I87=2,-1,I87=4,-2,I87=0.5,1,I87=0.25,2,I87=0,4)</f>
        <v>1</v>
      </c>
      <c r="AC87" s="24" cm="1">
        <f t="array" ref="AC87">_xlfn.IFS(J87=1,0,J87=2,-1,J87=4,-2,J87=0.5,1,J87=0.25,2,J87=0,4)</f>
        <v>4</v>
      </c>
      <c r="AD87" s="24" cm="1">
        <f t="array" ref="AD87">_xlfn.IFS(K87=1,0,K87=2,-1,K87=4,-2,K87=0.5,1,K87=0.25,2,K87=0,4)</f>
        <v>1</v>
      </c>
      <c r="AE87" s="24" cm="1">
        <f t="array" ref="AE87">_xlfn.IFS(L87=1,0,L87=2,-1,L87=4,-2,L87=0.5,1,L87=0.25,2,L87=0,4)</f>
        <v>4</v>
      </c>
      <c r="AF87" s="24" cm="1">
        <f t="array" ref="AF87">_xlfn.IFS(M87=1,0,M87=2,-1,M87=4,-2,M87=0.5,1,M87=0.25,2,M87=0,4)</f>
        <v>1</v>
      </c>
      <c r="AG87" s="24" cm="1">
        <f t="array" ref="AG87">_xlfn.IFS(N87=1,0,N87=2,-1,N87=4,-2,N87=0.5,1,N87=0.25,2,N87=0,4)</f>
        <v>1</v>
      </c>
      <c r="AH87" s="24" cm="1">
        <f t="array" ref="AH87">_xlfn.IFS(O87=1,0,O87=2,-1,O87=4,-2,O87=0.5,1,O87=0.25,2,O87=0,4)</f>
        <v>1</v>
      </c>
      <c r="AI87" s="24" cm="1">
        <f t="array" ref="AI87">_xlfn.IFS(P87=1,0,P87=2,-1,P87=4,-2,P87=0.5,1,P87=0.25,2,P87=0,4)</f>
        <v>1</v>
      </c>
      <c r="AJ87" s="24" cm="1">
        <f t="array" ref="AJ87">_xlfn.IFS(Q87=1,0,Q87=2,-1,Q87=4,-2,Q87=0.5,1,Q87=0.25,2,Q87=0,4)</f>
        <v>0</v>
      </c>
    </row>
    <row r="88" spans="1:36" x14ac:dyDescent="0.2">
      <c r="A88" s="22" t="s">
        <v>8</v>
      </c>
      <c r="B88" s="22" t="s">
        <v>11</v>
      </c>
      <c r="C88" s="24">
        <f>INDEX(Output!$B$3:$P$17,MATCH('Defensive Summary'!C$1,Output!$A$3:$A$17,0),MATCH('Defensive Summary'!$A88,Output!$B$2:$P$2,0))*INDEX(Output!$B$3:$P$17,MATCH('Defensive Summary'!C$1,Output!$A$3:$A$17,0),MATCH('Defensive Summary'!$B88,Output!$B$2:$P$2,0))</f>
        <v>0.5</v>
      </c>
      <c r="D88" s="24">
        <f>INDEX(Output!$B$3:$P$17,MATCH('Defensive Summary'!D$1,Output!$A$3:$A$17,0),MATCH('Defensive Summary'!$A88,Output!$B$2:$P$2,0))*INDEX(Output!$B$3:$P$17,MATCH('Defensive Summary'!D$1,Output!$A$3:$A$17,0),MATCH('Defensive Summary'!$B88,Output!$B$2:$P$2,0))</f>
        <v>0.5</v>
      </c>
      <c r="E88" s="24">
        <f>INDEX(Output!$B$3:$P$17,MATCH('Defensive Summary'!E$1,Output!$A$3:$A$17,0),MATCH('Defensive Summary'!$A88,Output!$B$2:$P$2,0))*INDEX(Output!$B$3:$P$17,MATCH('Defensive Summary'!E$1,Output!$A$3:$A$17,0),MATCH('Defensive Summary'!$B88,Output!$B$2:$P$2,0))</f>
        <v>1</v>
      </c>
      <c r="F88" s="24">
        <f>INDEX(Output!$B$3:$P$17,MATCH('Defensive Summary'!F$1,Output!$A$3:$A$17,0),MATCH('Defensive Summary'!$A88,Output!$B$2:$P$2,0))*INDEX(Output!$B$3:$P$17,MATCH('Defensive Summary'!F$1,Output!$A$3:$A$17,0),MATCH('Defensive Summary'!$B88,Output!$B$2:$P$2,0))</f>
        <v>0.5</v>
      </c>
      <c r="G88" s="24">
        <f>INDEX(Output!$B$3:$P$17,MATCH('Defensive Summary'!G$1,Output!$A$3:$A$17,0),MATCH('Defensive Summary'!$A88,Output!$B$2:$P$2,0))*INDEX(Output!$B$3:$P$17,MATCH('Defensive Summary'!G$1,Output!$A$3:$A$17,0),MATCH('Defensive Summary'!$B88,Output!$B$2:$P$2,0))</f>
        <v>2</v>
      </c>
      <c r="H88" s="24">
        <f>INDEX(Output!$B$3:$P$17,MATCH('Defensive Summary'!H$1,Output!$A$3:$A$17,0),MATCH('Defensive Summary'!$A88,Output!$B$2:$P$2,0))*INDEX(Output!$B$3:$P$17,MATCH('Defensive Summary'!H$1,Output!$A$3:$A$17,0),MATCH('Defensive Summary'!$B88,Output!$B$2:$P$2,0))</f>
        <v>2</v>
      </c>
      <c r="I88" s="24">
        <f>INDEX(Output!$B$3:$P$17,MATCH('Defensive Summary'!I$1,Output!$A$3:$A$17,0),MATCH('Defensive Summary'!$A88,Output!$B$2:$P$2,0))*INDEX(Output!$B$3:$P$17,MATCH('Defensive Summary'!I$1,Output!$A$3:$A$17,0),MATCH('Defensive Summary'!$B88,Output!$B$2:$P$2,0))</f>
        <v>0.5</v>
      </c>
      <c r="J88" s="24">
        <f>INDEX(Output!$B$3:$P$17,MATCH('Defensive Summary'!J$1,Output!$A$3:$A$17,0),MATCH('Defensive Summary'!$A88,Output!$B$2:$P$2,0))*INDEX(Output!$B$3:$P$17,MATCH('Defensive Summary'!J$1,Output!$A$3:$A$17,0),MATCH('Defensive Summary'!$B88,Output!$B$2:$P$2,0))</f>
        <v>0</v>
      </c>
      <c r="K88" s="24">
        <f>INDEX(Output!$B$3:$P$17,MATCH('Defensive Summary'!K$1,Output!$A$3:$A$17,0),MATCH('Defensive Summary'!$A88,Output!$B$2:$P$2,0))*INDEX(Output!$B$3:$P$17,MATCH('Defensive Summary'!K$1,Output!$A$3:$A$17,0),MATCH('Defensive Summary'!$B88,Output!$B$2:$P$2,0))</f>
        <v>1</v>
      </c>
      <c r="L88" s="24">
        <f>INDEX(Output!$B$3:$P$17,MATCH('Defensive Summary'!L$1,Output!$A$3:$A$17,0),MATCH('Defensive Summary'!$A88,Output!$B$2:$P$2,0))*INDEX(Output!$B$3:$P$17,MATCH('Defensive Summary'!L$1,Output!$A$3:$A$17,0),MATCH('Defensive Summary'!$B88,Output!$B$2:$P$2,0))</f>
        <v>2</v>
      </c>
      <c r="M88" s="24">
        <f>INDEX(Output!$B$3:$P$17,MATCH('Defensive Summary'!M$1,Output!$A$3:$A$17,0),MATCH('Defensive Summary'!$A88,Output!$B$2:$P$2,0))*INDEX(Output!$B$3:$P$17,MATCH('Defensive Summary'!M$1,Output!$A$3:$A$17,0),MATCH('Defensive Summary'!$B88,Output!$B$2:$P$2,0))</f>
        <v>0.5</v>
      </c>
      <c r="N88" s="24">
        <f>INDEX(Output!$B$3:$P$17,MATCH('Defensive Summary'!N$1,Output!$A$3:$A$17,0),MATCH('Defensive Summary'!$A88,Output!$B$2:$P$2,0))*INDEX(Output!$B$3:$P$17,MATCH('Defensive Summary'!N$1,Output!$A$3:$A$17,0),MATCH('Defensive Summary'!$B88,Output!$B$2:$P$2,0))</f>
        <v>0.5</v>
      </c>
      <c r="O88" s="24">
        <f>INDEX(Output!$B$3:$P$17,MATCH('Defensive Summary'!O$1,Output!$A$3:$A$17,0),MATCH('Defensive Summary'!$A88,Output!$B$2:$P$2,0))*INDEX(Output!$B$3:$P$17,MATCH('Defensive Summary'!O$1,Output!$A$3:$A$17,0),MATCH('Defensive Summary'!$B88,Output!$B$2:$P$2,0))</f>
        <v>2</v>
      </c>
      <c r="P88" s="24">
        <f>INDEX(Output!$B$3:$P$17,MATCH('Defensive Summary'!P$1,Output!$A$3:$A$17,0),MATCH('Defensive Summary'!$A88,Output!$B$2:$P$2,0))*INDEX(Output!$B$3:$P$17,MATCH('Defensive Summary'!P$1,Output!$A$3:$A$17,0),MATCH('Defensive Summary'!$B88,Output!$B$2:$P$2,0))</f>
        <v>0.25</v>
      </c>
      <c r="Q88" s="24">
        <f>INDEX(Output!$B$3:$P$17,MATCH('Defensive Summary'!Q$1,Output!$A$3:$A$17,0),MATCH('Defensive Summary'!$A88,Output!$B$2:$P$2,0))*INDEX(Output!$B$3:$P$17,MATCH('Defensive Summary'!Q$1,Output!$A$3:$A$17,0),MATCH('Defensive Summary'!$B88,Output!$B$2:$P$2,0))</f>
        <v>1</v>
      </c>
      <c r="R88" s="24"/>
      <c r="S88" s="25">
        <f t="shared" si="1"/>
        <v>8</v>
      </c>
      <c r="T88" s="22" t="s">
        <v>8</v>
      </c>
      <c r="U88" s="22" t="s">
        <v>11</v>
      </c>
      <c r="V88" s="24" cm="1">
        <f t="array" ref="V88">_xlfn.IFS(C88=1,0,C88=2,-1,C88=4,-2,C88=0.5,1,C88=0.25,2,C88=0,4)</f>
        <v>1</v>
      </c>
      <c r="W88" s="24" cm="1">
        <f t="array" ref="W88">_xlfn.IFS(D88=1,0,D88=2,-1,D88=4,-2,D88=0.5,1,D88=0.25,2,D88=0,4)</f>
        <v>1</v>
      </c>
      <c r="X88" s="24" cm="1">
        <f t="array" ref="X88">_xlfn.IFS(E88=1,0,E88=2,-1,E88=4,-2,E88=0.5,1,E88=0.25,2,E88=0,4)</f>
        <v>0</v>
      </c>
      <c r="Y88" s="24" cm="1">
        <f t="array" ref="Y88">_xlfn.IFS(F88=1,0,F88=2,-1,F88=4,-2,F88=0.5,1,F88=0.25,2,F88=0,4)</f>
        <v>1</v>
      </c>
      <c r="Z88" s="24" cm="1">
        <f t="array" ref="Z88">_xlfn.IFS(G88=1,0,G88=2,-1,G88=4,-2,G88=0.5,1,G88=0.25,2,G88=0,4)</f>
        <v>-1</v>
      </c>
      <c r="AA88" s="24" cm="1">
        <f t="array" ref="AA88">_xlfn.IFS(H88=1,0,H88=2,-1,H88=4,-2,H88=0.5,1,H88=0.25,2,H88=0,4)</f>
        <v>-1</v>
      </c>
      <c r="AB88" s="24" cm="1">
        <f t="array" ref="AB88">_xlfn.IFS(I88=1,0,I88=2,-1,I88=4,-2,I88=0.5,1,I88=0.25,2,I88=0,4)</f>
        <v>1</v>
      </c>
      <c r="AC88" s="24" cm="1">
        <f t="array" ref="AC88">_xlfn.IFS(J88=1,0,J88=2,-1,J88=4,-2,J88=0.5,1,J88=0.25,2,J88=0,4)</f>
        <v>4</v>
      </c>
      <c r="AD88" s="24" cm="1">
        <f t="array" ref="AD88">_xlfn.IFS(K88=1,0,K88=2,-1,K88=4,-2,K88=0.5,1,K88=0.25,2,K88=0,4)</f>
        <v>0</v>
      </c>
      <c r="AE88" s="24" cm="1">
        <f t="array" ref="AE88">_xlfn.IFS(L88=1,0,L88=2,-1,L88=4,-2,L88=0.5,1,L88=0.25,2,L88=0,4)</f>
        <v>-1</v>
      </c>
      <c r="AF88" s="24" cm="1">
        <f t="array" ref="AF88">_xlfn.IFS(M88=1,0,M88=2,-1,M88=4,-2,M88=0.5,1,M88=0.25,2,M88=0,4)</f>
        <v>1</v>
      </c>
      <c r="AG88" s="24" cm="1">
        <f t="array" ref="AG88">_xlfn.IFS(N88=1,0,N88=2,-1,N88=4,-2,N88=0.5,1,N88=0.25,2,N88=0,4)</f>
        <v>1</v>
      </c>
      <c r="AH88" s="24" cm="1">
        <f t="array" ref="AH88">_xlfn.IFS(O88=1,0,O88=2,-1,O88=4,-2,O88=0.5,1,O88=0.25,2,O88=0,4)</f>
        <v>-1</v>
      </c>
      <c r="AI88" s="24" cm="1">
        <f t="array" ref="AI88">_xlfn.IFS(P88=1,0,P88=2,-1,P88=4,-2,P88=0.5,1,P88=0.25,2,P88=0,4)</f>
        <v>2</v>
      </c>
      <c r="AJ88" s="24" cm="1">
        <f t="array" ref="AJ88">_xlfn.IFS(Q88=1,0,Q88=2,-1,Q88=4,-2,Q88=0.5,1,Q88=0.25,2,Q88=0,4)</f>
        <v>0</v>
      </c>
    </row>
    <row r="89" spans="1:36" x14ac:dyDescent="0.2">
      <c r="A89" s="22" t="s">
        <v>8</v>
      </c>
      <c r="B89" s="22" t="s">
        <v>12</v>
      </c>
      <c r="C89" s="24">
        <f>INDEX(Output!$B$3:$P$17,MATCH('Defensive Summary'!C$1,Output!$A$3:$A$17,0),MATCH('Defensive Summary'!$A89,Output!$B$2:$P$2,0))*INDEX(Output!$B$3:$P$17,MATCH('Defensive Summary'!C$1,Output!$A$3:$A$17,0),MATCH('Defensive Summary'!$B89,Output!$B$2:$P$2,0))</f>
        <v>1</v>
      </c>
      <c r="D89" s="24">
        <f>INDEX(Output!$B$3:$P$17,MATCH('Defensive Summary'!D$1,Output!$A$3:$A$17,0),MATCH('Defensive Summary'!$A89,Output!$B$2:$P$2,0))*INDEX(Output!$B$3:$P$17,MATCH('Defensive Summary'!D$1,Output!$A$3:$A$17,0),MATCH('Defensive Summary'!$B89,Output!$B$2:$P$2,0))</f>
        <v>1</v>
      </c>
      <c r="E89" s="24">
        <f>INDEX(Output!$B$3:$P$17,MATCH('Defensive Summary'!E$1,Output!$A$3:$A$17,0),MATCH('Defensive Summary'!$A89,Output!$B$2:$P$2,0))*INDEX(Output!$B$3:$P$17,MATCH('Defensive Summary'!E$1,Output!$A$3:$A$17,0),MATCH('Defensive Summary'!$B89,Output!$B$2:$P$2,0))</f>
        <v>2</v>
      </c>
      <c r="F89" s="24">
        <f>INDEX(Output!$B$3:$P$17,MATCH('Defensive Summary'!F$1,Output!$A$3:$A$17,0),MATCH('Defensive Summary'!$A89,Output!$B$2:$P$2,0))*INDEX(Output!$B$3:$P$17,MATCH('Defensive Summary'!F$1,Output!$A$3:$A$17,0),MATCH('Defensive Summary'!$B89,Output!$B$2:$P$2,0))</f>
        <v>0.5</v>
      </c>
      <c r="G89" s="24">
        <f>INDEX(Output!$B$3:$P$17,MATCH('Defensive Summary'!G$1,Output!$A$3:$A$17,0),MATCH('Defensive Summary'!$A89,Output!$B$2:$P$2,0))*INDEX(Output!$B$3:$P$17,MATCH('Defensive Summary'!G$1,Output!$A$3:$A$17,0),MATCH('Defensive Summary'!$B89,Output!$B$2:$P$2,0))</f>
        <v>1</v>
      </c>
      <c r="H89" s="24">
        <f>INDEX(Output!$B$3:$P$17,MATCH('Defensive Summary'!H$1,Output!$A$3:$A$17,0),MATCH('Defensive Summary'!$A89,Output!$B$2:$P$2,0))*INDEX(Output!$B$3:$P$17,MATCH('Defensive Summary'!H$1,Output!$A$3:$A$17,0),MATCH('Defensive Summary'!$B89,Output!$B$2:$P$2,0))</f>
        <v>4</v>
      </c>
      <c r="I89" s="24">
        <f>INDEX(Output!$B$3:$P$17,MATCH('Defensive Summary'!I$1,Output!$A$3:$A$17,0),MATCH('Defensive Summary'!$A89,Output!$B$2:$P$2,0))*INDEX(Output!$B$3:$P$17,MATCH('Defensive Summary'!I$1,Output!$A$3:$A$17,0),MATCH('Defensive Summary'!$B89,Output!$B$2:$P$2,0))</f>
        <v>2</v>
      </c>
      <c r="J89" s="24">
        <f>INDEX(Output!$B$3:$P$17,MATCH('Defensive Summary'!J$1,Output!$A$3:$A$17,0),MATCH('Defensive Summary'!$A89,Output!$B$2:$P$2,0))*INDEX(Output!$B$3:$P$17,MATCH('Defensive Summary'!J$1,Output!$A$3:$A$17,0),MATCH('Defensive Summary'!$B89,Output!$B$2:$P$2,0))</f>
        <v>0</v>
      </c>
      <c r="K89" s="24">
        <f>INDEX(Output!$B$3:$P$17,MATCH('Defensive Summary'!K$1,Output!$A$3:$A$17,0),MATCH('Defensive Summary'!$A89,Output!$B$2:$P$2,0))*INDEX(Output!$B$3:$P$17,MATCH('Defensive Summary'!K$1,Output!$A$3:$A$17,0),MATCH('Defensive Summary'!$B89,Output!$B$2:$P$2,0))</f>
        <v>1</v>
      </c>
      <c r="L89" s="24">
        <f>INDEX(Output!$B$3:$P$17,MATCH('Defensive Summary'!L$1,Output!$A$3:$A$17,0),MATCH('Defensive Summary'!$A89,Output!$B$2:$P$2,0))*INDEX(Output!$B$3:$P$17,MATCH('Defensive Summary'!L$1,Output!$A$3:$A$17,0),MATCH('Defensive Summary'!$B89,Output!$B$2:$P$2,0))</f>
        <v>4</v>
      </c>
      <c r="M89" s="24">
        <f>INDEX(Output!$B$3:$P$17,MATCH('Defensive Summary'!M$1,Output!$A$3:$A$17,0),MATCH('Defensive Summary'!$A89,Output!$B$2:$P$2,0))*INDEX(Output!$B$3:$P$17,MATCH('Defensive Summary'!M$1,Output!$A$3:$A$17,0),MATCH('Defensive Summary'!$B89,Output!$B$2:$P$2,0))</f>
        <v>0.5</v>
      </c>
      <c r="N89" s="24">
        <f>INDEX(Output!$B$3:$P$17,MATCH('Defensive Summary'!N$1,Output!$A$3:$A$17,0),MATCH('Defensive Summary'!$A89,Output!$B$2:$P$2,0))*INDEX(Output!$B$3:$P$17,MATCH('Defensive Summary'!N$1,Output!$A$3:$A$17,0),MATCH('Defensive Summary'!$B89,Output!$B$2:$P$2,0))</f>
        <v>0</v>
      </c>
      <c r="O89" s="24">
        <f>INDEX(Output!$B$3:$P$17,MATCH('Defensive Summary'!O$1,Output!$A$3:$A$17,0),MATCH('Defensive Summary'!$A89,Output!$B$2:$P$2,0))*INDEX(Output!$B$3:$P$17,MATCH('Defensive Summary'!O$1,Output!$A$3:$A$17,0),MATCH('Defensive Summary'!$B89,Output!$B$2:$P$2,0))</f>
        <v>0.5</v>
      </c>
      <c r="P89" s="24">
        <f>INDEX(Output!$B$3:$P$17,MATCH('Defensive Summary'!P$1,Output!$A$3:$A$17,0),MATCH('Defensive Summary'!$A89,Output!$B$2:$P$2,0))*INDEX(Output!$B$3:$P$17,MATCH('Defensive Summary'!P$1,Output!$A$3:$A$17,0),MATCH('Defensive Summary'!$B89,Output!$B$2:$P$2,0))</f>
        <v>0</v>
      </c>
      <c r="Q89" s="24">
        <f>INDEX(Output!$B$3:$P$17,MATCH('Defensive Summary'!Q$1,Output!$A$3:$A$17,0),MATCH('Defensive Summary'!$A89,Output!$B$2:$P$2,0))*INDEX(Output!$B$3:$P$17,MATCH('Defensive Summary'!Q$1,Output!$A$3:$A$17,0),MATCH('Defensive Summary'!$B89,Output!$B$2:$P$2,0))</f>
        <v>1</v>
      </c>
      <c r="R89" s="24"/>
      <c r="S89" s="25">
        <f t="shared" si="1"/>
        <v>9</v>
      </c>
      <c r="T89" s="22" t="s">
        <v>8</v>
      </c>
      <c r="U89" s="22" t="s">
        <v>12</v>
      </c>
      <c r="V89" s="24" cm="1">
        <f t="array" ref="V89">_xlfn.IFS(C89=1,0,C89=2,-1,C89=4,-2,C89=0.5,1,C89=0.25,2,C89=0,4)</f>
        <v>0</v>
      </c>
      <c r="W89" s="24" cm="1">
        <f t="array" ref="W89">_xlfn.IFS(D89=1,0,D89=2,-1,D89=4,-2,D89=0.5,1,D89=0.25,2,D89=0,4)</f>
        <v>0</v>
      </c>
      <c r="X89" s="24" cm="1">
        <f t="array" ref="X89">_xlfn.IFS(E89=1,0,E89=2,-1,E89=4,-2,E89=0.5,1,E89=0.25,2,E89=0,4)</f>
        <v>-1</v>
      </c>
      <c r="Y89" s="24" cm="1">
        <f t="array" ref="Y89">_xlfn.IFS(F89=1,0,F89=2,-1,F89=4,-2,F89=0.5,1,F89=0.25,2,F89=0,4)</f>
        <v>1</v>
      </c>
      <c r="Z89" s="24" cm="1">
        <f t="array" ref="Z89">_xlfn.IFS(G89=1,0,G89=2,-1,G89=4,-2,G89=0.5,1,G89=0.25,2,G89=0,4)</f>
        <v>0</v>
      </c>
      <c r="AA89" s="24" cm="1">
        <f t="array" ref="AA89">_xlfn.IFS(H89=1,0,H89=2,-1,H89=4,-2,H89=0.5,1,H89=0.25,2,H89=0,4)</f>
        <v>-2</v>
      </c>
      <c r="AB89" s="24" cm="1">
        <f t="array" ref="AB89">_xlfn.IFS(I89=1,0,I89=2,-1,I89=4,-2,I89=0.5,1,I89=0.25,2,I89=0,4)</f>
        <v>-1</v>
      </c>
      <c r="AC89" s="24" cm="1">
        <f t="array" ref="AC89">_xlfn.IFS(J89=1,0,J89=2,-1,J89=4,-2,J89=0.5,1,J89=0.25,2,J89=0,4)</f>
        <v>4</v>
      </c>
      <c r="AD89" s="24" cm="1">
        <f t="array" ref="AD89">_xlfn.IFS(K89=1,0,K89=2,-1,K89=4,-2,K89=0.5,1,K89=0.25,2,K89=0,4)</f>
        <v>0</v>
      </c>
      <c r="AE89" s="24" cm="1">
        <f t="array" ref="AE89">_xlfn.IFS(L89=1,0,L89=2,-1,L89=4,-2,L89=0.5,1,L89=0.25,2,L89=0,4)</f>
        <v>-2</v>
      </c>
      <c r="AF89" s="24" cm="1">
        <f t="array" ref="AF89">_xlfn.IFS(M89=1,0,M89=2,-1,M89=4,-2,M89=0.5,1,M89=0.25,2,M89=0,4)</f>
        <v>1</v>
      </c>
      <c r="AG89" s="24" cm="1">
        <f t="array" ref="AG89">_xlfn.IFS(N89=1,0,N89=2,-1,N89=4,-2,N89=0.5,1,N89=0.25,2,N89=0,4)</f>
        <v>4</v>
      </c>
      <c r="AH89" s="24" cm="1">
        <f t="array" ref="AH89">_xlfn.IFS(O89=1,0,O89=2,-1,O89=4,-2,O89=0.5,1,O89=0.25,2,O89=0,4)</f>
        <v>1</v>
      </c>
      <c r="AI89" s="24" cm="1">
        <f t="array" ref="AI89">_xlfn.IFS(P89=1,0,P89=2,-1,P89=4,-2,P89=0.5,1,P89=0.25,2,P89=0,4)</f>
        <v>4</v>
      </c>
      <c r="AJ89" s="24" cm="1">
        <f t="array" ref="AJ89">_xlfn.IFS(Q89=1,0,Q89=2,-1,Q89=4,-2,Q89=0.5,1,Q89=0.25,2,Q89=0,4)</f>
        <v>0</v>
      </c>
    </row>
    <row r="90" spans="1:36" x14ac:dyDescent="0.2">
      <c r="A90" s="22" t="s">
        <v>8</v>
      </c>
      <c r="B90" s="22" t="s">
        <v>13</v>
      </c>
      <c r="C90" s="24">
        <f>INDEX(Output!$B$3:$P$17,MATCH('Defensive Summary'!C$1,Output!$A$3:$A$17,0),MATCH('Defensive Summary'!$A90,Output!$B$2:$P$2,0))*INDEX(Output!$B$3:$P$17,MATCH('Defensive Summary'!C$1,Output!$A$3:$A$17,0),MATCH('Defensive Summary'!$B90,Output!$B$2:$P$2,0))</f>
        <v>0.5</v>
      </c>
      <c r="D90" s="24">
        <f>INDEX(Output!$B$3:$P$17,MATCH('Defensive Summary'!D$1,Output!$A$3:$A$17,0),MATCH('Defensive Summary'!$A90,Output!$B$2:$P$2,0))*INDEX(Output!$B$3:$P$17,MATCH('Defensive Summary'!D$1,Output!$A$3:$A$17,0),MATCH('Defensive Summary'!$B90,Output!$B$2:$P$2,0))</f>
        <v>0.25</v>
      </c>
      <c r="E90" s="24">
        <f>INDEX(Output!$B$3:$P$17,MATCH('Defensive Summary'!E$1,Output!$A$3:$A$17,0),MATCH('Defensive Summary'!$A90,Output!$B$2:$P$2,0))*INDEX(Output!$B$3:$P$17,MATCH('Defensive Summary'!E$1,Output!$A$3:$A$17,0),MATCH('Defensive Summary'!$B90,Output!$B$2:$P$2,0))</f>
        <v>1</v>
      </c>
      <c r="F90" s="24">
        <f>INDEX(Output!$B$3:$P$17,MATCH('Defensive Summary'!F$1,Output!$A$3:$A$17,0),MATCH('Defensive Summary'!$A90,Output!$B$2:$P$2,0))*INDEX(Output!$B$3:$P$17,MATCH('Defensive Summary'!F$1,Output!$A$3:$A$17,0),MATCH('Defensive Summary'!$B90,Output!$B$2:$P$2,0))</f>
        <v>0.5</v>
      </c>
      <c r="G90" s="24">
        <f>INDEX(Output!$B$3:$P$17,MATCH('Defensive Summary'!G$1,Output!$A$3:$A$17,0),MATCH('Defensive Summary'!$A90,Output!$B$2:$P$2,0))*INDEX(Output!$B$3:$P$17,MATCH('Defensive Summary'!G$1,Output!$A$3:$A$17,0),MATCH('Defensive Summary'!$B90,Output!$B$2:$P$2,0))</f>
        <v>2</v>
      </c>
      <c r="H90" s="24">
        <f>INDEX(Output!$B$3:$P$17,MATCH('Defensive Summary'!H$1,Output!$A$3:$A$17,0),MATCH('Defensive Summary'!$A90,Output!$B$2:$P$2,0))*INDEX(Output!$B$3:$P$17,MATCH('Defensive Summary'!H$1,Output!$A$3:$A$17,0),MATCH('Defensive Summary'!$B90,Output!$B$2:$P$2,0))</f>
        <v>1</v>
      </c>
      <c r="I90" s="24">
        <f>INDEX(Output!$B$3:$P$17,MATCH('Defensive Summary'!I$1,Output!$A$3:$A$17,0),MATCH('Defensive Summary'!$A90,Output!$B$2:$P$2,0))*INDEX(Output!$B$3:$P$17,MATCH('Defensive Summary'!I$1,Output!$A$3:$A$17,0),MATCH('Defensive Summary'!$B90,Output!$B$2:$P$2,0))</f>
        <v>0.5</v>
      </c>
      <c r="J90" s="24">
        <f>INDEX(Output!$B$3:$P$17,MATCH('Defensive Summary'!J$1,Output!$A$3:$A$17,0),MATCH('Defensive Summary'!$A90,Output!$B$2:$P$2,0))*INDEX(Output!$B$3:$P$17,MATCH('Defensive Summary'!J$1,Output!$A$3:$A$17,0),MATCH('Defensive Summary'!$B90,Output!$B$2:$P$2,0))</f>
        <v>0</v>
      </c>
      <c r="K90" s="24">
        <f>INDEX(Output!$B$3:$P$17,MATCH('Defensive Summary'!K$1,Output!$A$3:$A$17,0),MATCH('Defensive Summary'!$A90,Output!$B$2:$P$2,0))*INDEX(Output!$B$3:$P$17,MATCH('Defensive Summary'!K$1,Output!$A$3:$A$17,0),MATCH('Defensive Summary'!$B90,Output!$B$2:$P$2,0))</f>
        <v>2</v>
      </c>
      <c r="L90" s="24">
        <f>INDEX(Output!$B$3:$P$17,MATCH('Defensive Summary'!L$1,Output!$A$3:$A$17,0),MATCH('Defensive Summary'!$A90,Output!$B$2:$P$2,0))*INDEX(Output!$B$3:$P$17,MATCH('Defensive Summary'!L$1,Output!$A$3:$A$17,0),MATCH('Defensive Summary'!$B90,Output!$B$2:$P$2,0))</f>
        <v>2</v>
      </c>
      <c r="M90" s="24">
        <f>INDEX(Output!$B$3:$P$17,MATCH('Defensive Summary'!M$1,Output!$A$3:$A$17,0),MATCH('Defensive Summary'!$A90,Output!$B$2:$P$2,0))*INDEX(Output!$B$3:$P$17,MATCH('Defensive Summary'!M$1,Output!$A$3:$A$17,0),MATCH('Defensive Summary'!$B90,Output!$B$2:$P$2,0))</f>
        <v>0.25</v>
      </c>
      <c r="N90" s="24">
        <f>INDEX(Output!$B$3:$P$17,MATCH('Defensive Summary'!N$1,Output!$A$3:$A$17,0),MATCH('Defensive Summary'!$A90,Output!$B$2:$P$2,0))*INDEX(Output!$B$3:$P$17,MATCH('Defensive Summary'!N$1,Output!$A$3:$A$17,0),MATCH('Defensive Summary'!$B90,Output!$B$2:$P$2,0))</f>
        <v>0.5</v>
      </c>
      <c r="O90" s="24">
        <f>INDEX(Output!$B$3:$P$17,MATCH('Defensive Summary'!O$1,Output!$A$3:$A$17,0),MATCH('Defensive Summary'!$A90,Output!$B$2:$P$2,0))*INDEX(Output!$B$3:$P$17,MATCH('Defensive Summary'!O$1,Output!$A$3:$A$17,0),MATCH('Defensive Summary'!$B90,Output!$B$2:$P$2,0))</f>
        <v>2</v>
      </c>
      <c r="P90" s="24">
        <f>INDEX(Output!$B$3:$P$17,MATCH('Defensive Summary'!P$1,Output!$A$3:$A$17,0),MATCH('Defensive Summary'!$A90,Output!$B$2:$P$2,0))*INDEX(Output!$B$3:$P$17,MATCH('Defensive Summary'!P$1,Output!$A$3:$A$17,0),MATCH('Defensive Summary'!$B90,Output!$B$2:$P$2,0))</f>
        <v>0.25</v>
      </c>
      <c r="Q90" s="24">
        <f>INDEX(Output!$B$3:$P$17,MATCH('Defensive Summary'!Q$1,Output!$A$3:$A$17,0),MATCH('Defensive Summary'!$A90,Output!$B$2:$P$2,0))*INDEX(Output!$B$3:$P$17,MATCH('Defensive Summary'!Q$1,Output!$A$3:$A$17,0),MATCH('Defensive Summary'!$B90,Output!$B$2:$P$2,0))</f>
        <v>1</v>
      </c>
      <c r="R90" s="24"/>
      <c r="S90" s="25">
        <f t="shared" si="1"/>
        <v>10</v>
      </c>
      <c r="T90" s="22" t="s">
        <v>8</v>
      </c>
      <c r="U90" s="22" t="s">
        <v>13</v>
      </c>
      <c r="V90" s="24" cm="1">
        <f t="array" ref="V90">_xlfn.IFS(C90=1,0,C90=2,-1,C90=4,-2,C90=0.5,1,C90=0.25,2,C90=0,4)</f>
        <v>1</v>
      </c>
      <c r="W90" s="24" cm="1">
        <f t="array" ref="W90">_xlfn.IFS(D90=1,0,D90=2,-1,D90=4,-2,D90=0.5,1,D90=0.25,2,D90=0,4)</f>
        <v>2</v>
      </c>
      <c r="X90" s="24" cm="1">
        <f t="array" ref="X90">_xlfn.IFS(E90=1,0,E90=2,-1,E90=4,-2,E90=0.5,1,E90=0.25,2,E90=0,4)</f>
        <v>0</v>
      </c>
      <c r="Y90" s="24" cm="1">
        <f t="array" ref="Y90">_xlfn.IFS(F90=1,0,F90=2,-1,F90=4,-2,F90=0.5,1,F90=0.25,2,F90=0,4)</f>
        <v>1</v>
      </c>
      <c r="Z90" s="24" cm="1">
        <f t="array" ref="Z90">_xlfn.IFS(G90=1,0,G90=2,-1,G90=4,-2,G90=0.5,1,G90=0.25,2,G90=0,4)</f>
        <v>-1</v>
      </c>
      <c r="AA90" s="24" cm="1">
        <f t="array" ref="AA90">_xlfn.IFS(H90=1,0,H90=2,-1,H90=4,-2,H90=0.5,1,H90=0.25,2,H90=0,4)</f>
        <v>0</v>
      </c>
      <c r="AB90" s="24" cm="1">
        <f t="array" ref="AB90">_xlfn.IFS(I90=1,0,I90=2,-1,I90=4,-2,I90=0.5,1,I90=0.25,2,I90=0,4)</f>
        <v>1</v>
      </c>
      <c r="AC90" s="24" cm="1">
        <f t="array" ref="AC90">_xlfn.IFS(J90=1,0,J90=2,-1,J90=4,-2,J90=0.5,1,J90=0.25,2,J90=0,4)</f>
        <v>4</v>
      </c>
      <c r="AD90" s="24" cm="1">
        <f t="array" ref="AD90">_xlfn.IFS(K90=1,0,K90=2,-1,K90=4,-2,K90=0.5,1,K90=0.25,2,K90=0,4)</f>
        <v>-1</v>
      </c>
      <c r="AE90" s="24" cm="1">
        <f t="array" ref="AE90">_xlfn.IFS(L90=1,0,L90=2,-1,L90=4,-2,L90=0.5,1,L90=0.25,2,L90=0,4)</f>
        <v>-1</v>
      </c>
      <c r="AF90" s="24" cm="1">
        <f t="array" ref="AF90">_xlfn.IFS(M90=1,0,M90=2,-1,M90=4,-2,M90=0.5,1,M90=0.25,2,M90=0,4)</f>
        <v>2</v>
      </c>
      <c r="AG90" s="24" cm="1">
        <f t="array" ref="AG90">_xlfn.IFS(N90=1,0,N90=2,-1,N90=4,-2,N90=0.5,1,N90=0.25,2,N90=0,4)</f>
        <v>1</v>
      </c>
      <c r="AH90" s="24" cm="1">
        <f t="array" ref="AH90">_xlfn.IFS(O90=1,0,O90=2,-1,O90=4,-2,O90=0.5,1,O90=0.25,2,O90=0,4)</f>
        <v>-1</v>
      </c>
      <c r="AI90" s="24" cm="1">
        <f t="array" ref="AI90">_xlfn.IFS(P90=1,0,P90=2,-1,P90=4,-2,P90=0.5,1,P90=0.25,2,P90=0,4)</f>
        <v>2</v>
      </c>
      <c r="AJ90" s="24" cm="1">
        <f t="array" ref="AJ90">_xlfn.IFS(Q90=1,0,Q90=2,-1,Q90=4,-2,Q90=0.5,1,Q90=0.25,2,Q90=0,4)</f>
        <v>0</v>
      </c>
    </row>
    <row r="91" spans="1:36" x14ac:dyDescent="0.2">
      <c r="A91" s="22" t="s">
        <v>8</v>
      </c>
      <c r="B91" s="22" t="s">
        <v>14</v>
      </c>
      <c r="C91" s="24">
        <f>INDEX(Output!$B$3:$P$17,MATCH('Defensive Summary'!C$1,Output!$A$3:$A$17,0),MATCH('Defensive Summary'!$A91,Output!$B$2:$P$2,0))*INDEX(Output!$B$3:$P$17,MATCH('Defensive Summary'!C$1,Output!$A$3:$A$17,0),MATCH('Defensive Summary'!$B91,Output!$B$2:$P$2,0))</f>
        <v>0.5</v>
      </c>
      <c r="D91" s="24">
        <f>INDEX(Output!$B$3:$P$17,MATCH('Defensive Summary'!D$1,Output!$A$3:$A$17,0),MATCH('Defensive Summary'!$A91,Output!$B$2:$P$2,0))*INDEX(Output!$B$3:$P$17,MATCH('Defensive Summary'!D$1,Output!$A$3:$A$17,0),MATCH('Defensive Summary'!$B91,Output!$B$2:$P$2,0))</f>
        <v>0.5</v>
      </c>
      <c r="E91" s="24">
        <f>INDEX(Output!$B$3:$P$17,MATCH('Defensive Summary'!E$1,Output!$A$3:$A$17,0),MATCH('Defensive Summary'!$A91,Output!$B$2:$P$2,0))*INDEX(Output!$B$3:$P$17,MATCH('Defensive Summary'!E$1,Output!$A$3:$A$17,0),MATCH('Defensive Summary'!$B91,Output!$B$2:$P$2,0))</f>
        <v>1</v>
      </c>
      <c r="F91" s="24">
        <f>INDEX(Output!$B$3:$P$17,MATCH('Defensive Summary'!F$1,Output!$A$3:$A$17,0),MATCH('Defensive Summary'!$A91,Output!$B$2:$P$2,0))*INDEX(Output!$B$3:$P$17,MATCH('Defensive Summary'!F$1,Output!$A$3:$A$17,0),MATCH('Defensive Summary'!$B91,Output!$B$2:$P$2,0))</f>
        <v>0.5</v>
      </c>
      <c r="G91" s="24">
        <f>INDEX(Output!$B$3:$P$17,MATCH('Defensive Summary'!G$1,Output!$A$3:$A$17,0),MATCH('Defensive Summary'!$A91,Output!$B$2:$P$2,0))*INDEX(Output!$B$3:$P$17,MATCH('Defensive Summary'!G$1,Output!$A$3:$A$17,0),MATCH('Defensive Summary'!$B91,Output!$B$2:$P$2,0))</f>
        <v>2</v>
      </c>
      <c r="H91" s="24">
        <f>INDEX(Output!$B$3:$P$17,MATCH('Defensive Summary'!H$1,Output!$A$3:$A$17,0),MATCH('Defensive Summary'!$A91,Output!$B$2:$P$2,0))*INDEX(Output!$B$3:$P$17,MATCH('Defensive Summary'!H$1,Output!$A$3:$A$17,0),MATCH('Defensive Summary'!$B91,Output!$B$2:$P$2,0))</f>
        <v>2</v>
      </c>
      <c r="I91" s="24">
        <f>INDEX(Output!$B$3:$P$17,MATCH('Defensive Summary'!I$1,Output!$A$3:$A$17,0),MATCH('Defensive Summary'!$A91,Output!$B$2:$P$2,0))*INDEX(Output!$B$3:$P$17,MATCH('Defensive Summary'!I$1,Output!$A$3:$A$17,0),MATCH('Defensive Summary'!$B91,Output!$B$2:$P$2,0))</f>
        <v>1</v>
      </c>
      <c r="J91" s="24">
        <f>INDEX(Output!$B$3:$P$17,MATCH('Defensive Summary'!J$1,Output!$A$3:$A$17,0),MATCH('Defensive Summary'!$A91,Output!$B$2:$P$2,0))*INDEX(Output!$B$3:$P$17,MATCH('Defensive Summary'!J$1,Output!$A$3:$A$17,0),MATCH('Defensive Summary'!$B91,Output!$B$2:$P$2,0))</f>
        <v>0</v>
      </c>
      <c r="K91" s="24">
        <f>INDEX(Output!$B$3:$P$17,MATCH('Defensive Summary'!K$1,Output!$A$3:$A$17,0),MATCH('Defensive Summary'!$A91,Output!$B$2:$P$2,0))*INDEX(Output!$B$3:$P$17,MATCH('Defensive Summary'!K$1,Output!$A$3:$A$17,0),MATCH('Defensive Summary'!$B91,Output!$B$2:$P$2,0))</f>
        <v>1</v>
      </c>
      <c r="L91" s="24">
        <f>INDEX(Output!$B$3:$P$17,MATCH('Defensive Summary'!L$1,Output!$A$3:$A$17,0),MATCH('Defensive Summary'!$A91,Output!$B$2:$P$2,0))*INDEX(Output!$B$3:$P$17,MATCH('Defensive Summary'!L$1,Output!$A$3:$A$17,0),MATCH('Defensive Summary'!$B91,Output!$B$2:$P$2,0))</f>
        <v>2</v>
      </c>
      <c r="M91" s="24">
        <f>INDEX(Output!$B$3:$P$17,MATCH('Defensive Summary'!M$1,Output!$A$3:$A$17,0),MATCH('Defensive Summary'!$A91,Output!$B$2:$P$2,0))*INDEX(Output!$B$3:$P$17,MATCH('Defensive Summary'!M$1,Output!$A$3:$A$17,0),MATCH('Defensive Summary'!$B91,Output!$B$2:$P$2,0))</f>
        <v>0.5</v>
      </c>
      <c r="N91" s="24">
        <f>INDEX(Output!$B$3:$P$17,MATCH('Defensive Summary'!N$1,Output!$A$3:$A$17,0),MATCH('Defensive Summary'!$A91,Output!$B$2:$P$2,0))*INDEX(Output!$B$3:$P$17,MATCH('Defensive Summary'!N$1,Output!$A$3:$A$17,0),MATCH('Defensive Summary'!$B91,Output!$B$2:$P$2,0))</f>
        <v>1</v>
      </c>
      <c r="O91" s="24">
        <f>INDEX(Output!$B$3:$P$17,MATCH('Defensive Summary'!O$1,Output!$A$3:$A$17,0),MATCH('Defensive Summary'!$A91,Output!$B$2:$P$2,0))*INDEX(Output!$B$3:$P$17,MATCH('Defensive Summary'!O$1,Output!$A$3:$A$17,0),MATCH('Defensive Summary'!$B91,Output!$B$2:$P$2,0))</f>
        <v>1</v>
      </c>
      <c r="P91" s="24">
        <f>INDEX(Output!$B$3:$P$17,MATCH('Defensive Summary'!P$1,Output!$A$3:$A$17,0),MATCH('Defensive Summary'!$A91,Output!$B$2:$P$2,0))*INDEX(Output!$B$3:$P$17,MATCH('Defensive Summary'!P$1,Output!$A$3:$A$17,0),MATCH('Defensive Summary'!$B91,Output!$B$2:$P$2,0))</f>
        <v>0.5</v>
      </c>
      <c r="Q91" s="24">
        <f>INDEX(Output!$B$3:$P$17,MATCH('Defensive Summary'!Q$1,Output!$A$3:$A$17,0),MATCH('Defensive Summary'!$A91,Output!$B$2:$P$2,0))*INDEX(Output!$B$3:$P$17,MATCH('Defensive Summary'!Q$1,Output!$A$3:$A$17,0),MATCH('Defensive Summary'!$B91,Output!$B$2:$P$2,0))</f>
        <v>1</v>
      </c>
      <c r="R91" s="24"/>
      <c r="S91" s="25">
        <f t="shared" si="1"/>
        <v>6</v>
      </c>
      <c r="T91" s="22" t="s">
        <v>8</v>
      </c>
      <c r="U91" s="22" t="s">
        <v>14</v>
      </c>
      <c r="V91" s="24" cm="1">
        <f t="array" ref="V91">_xlfn.IFS(C91=1,0,C91=2,-1,C91=4,-2,C91=0.5,1,C91=0.25,2,C91=0,4)</f>
        <v>1</v>
      </c>
      <c r="W91" s="24" cm="1">
        <f t="array" ref="W91">_xlfn.IFS(D91=1,0,D91=2,-1,D91=4,-2,D91=0.5,1,D91=0.25,2,D91=0,4)</f>
        <v>1</v>
      </c>
      <c r="X91" s="24" cm="1">
        <f t="array" ref="X91">_xlfn.IFS(E91=1,0,E91=2,-1,E91=4,-2,E91=0.5,1,E91=0.25,2,E91=0,4)</f>
        <v>0</v>
      </c>
      <c r="Y91" s="24" cm="1">
        <f t="array" ref="Y91">_xlfn.IFS(F91=1,0,F91=2,-1,F91=4,-2,F91=0.5,1,F91=0.25,2,F91=0,4)</f>
        <v>1</v>
      </c>
      <c r="Z91" s="24" cm="1">
        <f t="array" ref="Z91">_xlfn.IFS(G91=1,0,G91=2,-1,G91=4,-2,G91=0.5,1,G91=0.25,2,G91=0,4)</f>
        <v>-1</v>
      </c>
      <c r="AA91" s="24" cm="1">
        <f t="array" ref="AA91">_xlfn.IFS(H91=1,0,H91=2,-1,H91=4,-2,H91=0.5,1,H91=0.25,2,H91=0,4)</f>
        <v>-1</v>
      </c>
      <c r="AB91" s="24" cm="1">
        <f t="array" ref="AB91">_xlfn.IFS(I91=1,0,I91=2,-1,I91=4,-2,I91=0.5,1,I91=0.25,2,I91=0,4)</f>
        <v>0</v>
      </c>
      <c r="AC91" s="24" cm="1">
        <f t="array" ref="AC91">_xlfn.IFS(J91=1,0,J91=2,-1,J91=4,-2,J91=0.5,1,J91=0.25,2,J91=0,4)</f>
        <v>4</v>
      </c>
      <c r="AD91" s="24" cm="1">
        <f t="array" ref="AD91">_xlfn.IFS(K91=1,0,K91=2,-1,K91=4,-2,K91=0.5,1,K91=0.25,2,K91=0,4)</f>
        <v>0</v>
      </c>
      <c r="AE91" s="24" cm="1">
        <f t="array" ref="AE91">_xlfn.IFS(L91=1,0,L91=2,-1,L91=4,-2,L91=0.5,1,L91=0.25,2,L91=0,4)</f>
        <v>-1</v>
      </c>
      <c r="AF91" s="24" cm="1">
        <f t="array" ref="AF91">_xlfn.IFS(M91=1,0,M91=2,-1,M91=4,-2,M91=0.5,1,M91=0.25,2,M91=0,4)</f>
        <v>1</v>
      </c>
      <c r="AG91" s="24" cm="1">
        <f t="array" ref="AG91">_xlfn.IFS(N91=1,0,N91=2,-1,N91=4,-2,N91=0.5,1,N91=0.25,2,N91=0,4)</f>
        <v>0</v>
      </c>
      <c r="AH91" s="24" cm="1">
        <f t="array" ref="AH91">_xlfn.IFS(O91=1,0,O91=2,-1,O91=4,-2,O91=0.5,1,O91=0.25,2,O91=0,4)</f>
        <v>0</v>
      </c>
      <c r="AI91" s="24" cm="1">
        <f t="array" ref="AI91">_xlfn.IFS(P91=1,0,P91=2,-1,P91=4,-2,P91=0.5,1,P91=0.25,2,P91=0,4)</f>
        <v>1</v>
      </c>
      <c r="AJ91" s="24" cm="1">
        <f t="array" ref="AJ91">_xlfn.IFS(Q91=1,0,Q91=2,-1,Q91=4,-2,Q91=0.5,1,Q91=0.25,2,Q91=0,4)</f>
        <v>0</v>
      </c>
    </row>
    <row r="92" spans="1:36" x14ac:dyDescent="0.2">
      <c r="A92" s="22" t="s">
        <v>9</v>
      </c>
      <c r="B92" s="22" t="s">
        <v>10</v>
      </c>
      <c r="C92" s="24">
        <f>INDEX(Output!$B$3:$P$17,MATCH('Defensive Summary'!C$1,Output!$A$3:$A$17,0),MATCH('Defensive Summary'!$A92,Output!$B$2:$P$2,0))*INDEX(Output!$B$3:$P$17,MATCH('Defensive Summary'!C$1,Output!$A$3:$A$17,0),MATCH('Defensive Summary'!$B92,Output!$B$2:$P$2,0))</f>
        <v>2</v>
      </c>
      <c r="D92" s="24">
        <f>INDEX(Output!$B$3:$P$17,MATCH('Defensive Summary'!D$1,Output!$A$3:$A$17,0),MATCH('Defensive Summary'!$A92,Output!$B$2:$P$2,0))*INDEX(Output!$B$3:$P$17,MATCH('Defensive Summary'!D$1,Output!$A$3:$A$17,0),MATCH('Defensive Summary'!$B92,Output!$B$2:$P$2,0))</f>
        <v>1</v>
      </c>
      <c r="E92" s="24">
        <f>INDEX(Output!$B$3:$P$17,MATCH('Defensive Summary'!E$1,Output!$A$3:$A$17,0),MATCH('Defensive Summary'!$A92,Output!$B$2:$P$2,0))*INDEX(Output!$B$3:$P$17,MATCH('Defensive Summary'!E$1,Output!$A$3:$A$17,0),MATCH('Defensive Summary'!$B92,Output!$B$2:$P$2,0))</f>
        <v>0.5</v>
      </c>
      <c r="F92" s="24">
        <f>INDEX(Output!$B$3:$P$17,MATCH('Defensive Summary'!F$1,Output!$A$3:$A$17,0),MATCH('Defensive Summary'!$A92,Output!$B$2:$P$2,0))*INDEX(Output!$B$3:$P$17,MATCH('Defensive Summary'!F$1,Output!$A$3:$A$17,0),MATCH('Defensive Summary'!$B92,Output!$B$2:$P$2,0))</f>
        <v>1</v>
      </c>
      <c r="G92" s="24">
        <f>INDEX(Output!$B$3:$P$17,MATCH('Defensive Summary'!G$1,Output!$A$3:$A$17,0),MATCH('Defensive Summary'!$A92,Output!$B$2:$P$2,0))*INDEX(Output!$B$3:$P$17,MATCH('Defensive Summary'!G$1,Output!$A$3:$A$17,0),MATCH('Defensive Summary'!$B92,Output!$B$2:$P$2,0))</f>
        <v>2</v>
      </c>
      <c r="H92" s="24">
        <f>INDEX(Output!$B$3:$P$17,MATCH('Defensive Summary'!H$1,Output!$A$3:$A$17,0),MATCH('Defensive Summary'!$A92,Output!$B$2:$P$2,0))*INDEX(Output!$B$3:$P$17,MATCH('Defensive Summary'!H$1,Output!$A$3:$A$17,0),MATCH('Defensive Summary'!$B92,Output!$B$2:$P$2,0))</f>
        <v>2</v>
      </c>
      <c r="I92" s="24">
        <f>INDEX(Output!$B$3:$P$17,MATCH('Defensive Summary'!I$1,Output!$A$3:$A$17,0),MATCH('Defensive Summary'!$A92,Output!$B$2:$P$2,0))*INDEX(Output!$B$3:$P$17,MATCH('Defensive Summary'!I$1,Output!$A$3:$A$17,0),MATCH('Defensive Summary'!$B92,Output!$B$2:$P$2,0))</f>
        <v>0.5</v>
      </c>
      <c r="J92" s="24">
        <f>INDEX(Output!$B$3:$P$17,MATCH('Defensive Summary'!J$1,Output!$A$3:$A$17,0),MATCH('Defensive Summary'!$A92,Output!$B$2:$P$2,0))*INDEX(Output!$B$3:$P$17,MATCH('Defensive Summary'!J$1,Output!$A$3:$A$17,0),MATCH('Defensive Summary'!$B92,Output!$B$2:$P$2,0))</f>
        <v>1</v>
      </c>
      <c r="K92" s="24">
        <f>INDEX(Output!$B$3:$P$17,MATCH('Defensive Summary'!K$1,Output!$A$3:$A$17,0),MATCH('Defensive Summary'!$A92,Output!$B$2:$P$2,0))*INDEX(Output!$B$3:$P$17,MATCH('Defensive Summary'!K$1,Output!$A$3:$A$17,0),MATCH('Defensive Summary'!$B92,Output!$B$2:$P$2,0))</f>
        <v>0</v>
      </c>
      <c r="L92" s="24">
        <f>INDEX(Output!$B$3:$P$17,MATCH('Defensive Summary'!L$1,Output!$A$3:$A$17,0),MATCH('Defensive Summary'!$A92,Output!$B$2:$P$2,0))*INDEX(Output!$B$3:$P$17,MATCH('Defensive Summary'!L$1,Output!$A$3:$A$17,0),MATCH('Defensive Summary'!$B92,Output!$B$2:$P$2,0))</f>
        <v>0</v>
      </c>
      <c r="M92" s="24">
        <f>INDEX(Output!$B$3:$P$17,MATCH('Defensive Summary'!M$1,Output!$A$3:$A$17,0),MATCH('Defensive Summary'!$A92,Output!$B$2:$P$2,0))*INDEX(Output!$B$3:$P$17,MATCH('Defensive Summary'!M$1,Output!$A$3:$A$17,0),MATCH('Defensive Summary'!$B92,Output!$B$2:$P$2,0))</f>
        <v>2</v>
      </c>
      <c r="N92" s="24">
        <f>INDEX(Output!$B$3:$P$17,MATCH('Defensive Summary'!N$1,Output!$A$3:$A$17,0),MATCH('Defensive Summary'!$A92,Output!$B$2:$P$2,0))*INDEX(Output!$B$3:$P$17,MATCH('Defensive Summary'!N$1,Output!$A$3:$A$17,0),MATCH('Defensive Summary'!$B92,Output!$B$2:$P$2,0))</f>
        <v>0.5</v>
      </c>
      <c r="O92" s="24">
        <f>INDEX(Output!$B$3:$P$17,MATCH('Defensive Summary'!O$1,Output!$A$3:$A$17,0),MATCH('Defensive Summary'!$A92,Output!$B$2:$P$2,0))*INDEX(Output!$B$3:$P$17,MATCH('Defensive Summary'!O$1,Output!$A$3:$A$17,0),MATCH('Defensive Summary'!$B92,Output!$B$2:$P$2,0))</f>
        <v>0.25</v>
      </c>
      <c r="P92" s="24">
        <f>INDEX(Output!$B$3:$P$17,MATCH('Defensive Summary'!P$1,Output!$A$3:$A$17,0),MATCH('Defensive Summary'!$A92,Output!$B$2:$P$2,0))*INDEX(Output!$B$3:$P$17,MATCH('Defensive Summary'!P$1,Output!$A$3:$A$17,0),MATCH('Defensive Summary'!$B92,Output!$B$2:$P$2,0))</f>
        <v>2</v>
      </c>
      <c r="Q92" s="24">
        <f>INDEX(Output!$B$3:$P$17,MATCH('Defensive Summary'!Q$1,Output!$A$3:$A$17,0),MATCH('Defensive Summary'!$A92,Output!$B$2:$P$2,0))*INDEX(Output!$B$3:$P$17,MATCH('Defensive Summary'!Q$1,Output!$A$3:$A$17,0),MATCH('Defensive Summary'!$B92,Output!$B$2:$P$2,0))</f>
        <v>1</v>
      </c>
      <c r="R92" s="24"/>
      <c r="S92" s="25">
        <f t="shared" si="1"/>
        <v>8</v>
      </c>
      <c r="T92" s="22" t="s">
        <v>9</v>
      </c>
      <c r="U92" s="22" t="s">
        <v>10</v>
      </c>
      <c r="V92" s="24" cm="1">
        <f t="array" ref="V92">_xlfn.IFS(C92=1,0,C92=2,-1,C92=4,-2,C92=0.5,1,C92=0.25,2,C92=0,4)</f>
        <v>-1</v>
      </c>
      <c r="W92" s="24" cm="1">
        <f t="array" ref="W92">_xlfn.IFS(D92=1,0,D92=2,-1,D92=4,-2,D92=0.5,1,D92=0.25,2,D92=0,4)</f>
        <v>0</v>
      </c>
      <c r="X92" s="24" cm="1">
        <f t="array" ref="X92">_xlfn.IFS(E92=1,0,E92=2,-1,E92=4,-2,E92=0.5,1,E92=0.25,2,E92=0,4)</f>
        <v>1</v>
      </c>
      <c r="Y92" s="24" cm="1">
        <f t="array" ref="Y92">_xlfn.IFS(F92=1,0,F92=2,-1,F92=4,-2,F92=0.5,1,F92=0.25,2,F92=0,4)</f>
        <v>0</v>
      </c>
      <c r="Z92" s="24" cm="1">
        <f t="array" ref="Z92">_xlfn.IFS(G92=1,0,G92=2,-1,G92=4,-2,G92=0.5,1,G92=0.25,2,G92=0,4)</f>
        <v>-1</v>
      </c>
      <c r="AA92" s="24" cm="1">
        <f t="array" ref="AA92">_xlfn.IFS(H92=1,0,H92=2,-1,H92=4,-2,H92=0.5,1,H92=0.25,2,H92=0,4)</f>
        <v>-1</v>
      </c>
      <c r="AB92" s="24" cm="1">
        <f t="array" ref="AB92">_xlfn.IFS(I92=1,0,I92=2,-1,I92=4,-2,I92=0.5,1,I92=0.25,2,I92=0,4)</f>
        <v>1</v>
      </c>
      <c r="AC92" s="24" cm="1">
        <f t="array" ref="AC92">_xlfn.IFS(J92=1,0,J92=2,-1,J92=4,-2,J92=0.5,1,J92=0.25,2,J92=0,4)</f>
        <v>0</v>
      </c>
      <c r="AD92" s="24" cm="1">
        <f t="array" ref="AD92">_xlfn.IFS(K92=1,0,K92=2,-1,K92=4,-2,K92=0.5,1,K92=0.25,2,K92=0,4)</f>
        <v>4</v>
      </c>
      <c r="AE92" s="24" cm="1">
        <f t="array" ref="AE92">_xlfn.IFS(L92=1,0,L92=2,-1,L92=4,-2,L92=0.5,1,L92=0.25,2,L92=0,4)</f>
        <v>4</v>
      </c>
      <c r="AF92" s="24" cm="1">
        <f t="array" ref="AF92">_xlfn.IFS(M92=1,0,M92=2,-1,M92=4,-2,M92=0.5,1,M92=0.25,2,M92=0,4)</f>
        <v>-1</v>
      </c>
      <c r="AG92" s="24" cm="1">
        <f t="array" ref="AG92">_xlfn.IFS(N92=1,0,N92=2,-1,N92=4,-2,N92=0.5,1,N92=0.25,2,N92=0,4)</f>
        <v>1</v>
      </c>
      <c r="AH92" s="24" cm="1">
        <f t="array" ref="AH92">_xlfn.IFS(O92=1,0,O92=2,-1,O92=4,-2,O92=0.5,1,O92=0.25,2,O92=0,4)</f>
        <v>2</v>
      </c>
      <c r="AI92" s="24" cm="1">
        <f t="array" ref="AI92">_xlfn.IFS(P92=1,0,P92=2,-1,P92=4,-2,P92=0.5,1,P92=0.25,2,P92=0,4)</f>
        <v>-1</v>
      </c>
      <c r="AJ92" s="24" cm="1">
        <f t="array" ref="AJ92">_xlfn.IFS(Q92=1,0,Q92=2,-1,Q92=4,-2,Q92=0.5,1,Q92=0.25,2,Q92=0,4)</f>
        <v>0</v>
      </c>
    </row>
    <row r="93" spans="1:36" x14ac:dyDescent="0.2">
      <c r="A93" s="22" t="s">
        <v>9</v>
      </c>
      <c r="B93" s="22" t="s">
        <v>11</v>
      </c>
      <c r="C93" s="24">
        <f>INDEX(Output!$B$3:$P$17,MATCH('Defensive Summary'!C$1,Output!$A$3:$A$17,0),MATCH('Defensive Summary'!$A93,Output!$B$2:$P$2,0))*INDEX(Output!$B$3:$P$17,MATCH('Defensive Summary'!C$1,Output!$A$3:$A$17,0),MATCH('Defensive Summary'!$B93,Output!$B$2:$P$2,0))</f>
        <v>1</v>
      </c>
      <c r="D93" s="24">
        <f>INDEX(Output!$B$3:$P$17,MATCH('Defensive Summary'!D$1,Output!$A$3:$A$17,0),MATCH('Defensive Summary'!$A93,Output!$B$2:$P$2,0))*INDEX(Output!$B$3:$P$17,MATCH('Defensive Summary'!D$1,Output!$A$3:$A$17,0),MATCH('Defensive Summary'!$B93,Output!$B$2:$P$2,0))</f>
        <v>1</v>
      </c>
      <c r="E93" s="24">
        <f>INDEX(Output!$B$3:$P$17,MATCH('Defensive Summary'!E$1,Output!$A$3:$A$17,0),MATCH('Defensive Summary'!$A93,Output!$B$2:$P$2,0))*INDEX(Output!$B$3:$P$17,MATCH('Defensive Summary'!E$1,Output!$A$3:$A$17,0),MATCH('Defensive Summary'!$B93,Output!$B$2:$P$2,0))</f>
        <v>1</v>
      </c>
      <c r="F93" s="24">
        <f>INDEX(Output!$B$3:$P$17,MATCH('Defensive Summary'!F$1,Output!$A$3:$A$17,0),MATCH('Defensive Summary'!$A93,Output!$B$2:$P$2,0))*INDEX(Output!$B$3:$P$17,MATCH('Defensive Summary'!F$1,Output!$A$3:$A$17,0),MATCH('Defensive Summary'!$B93,Output!$B$2:$P$2,0))</f>
        <v>1</v>
      </c>
      <c r="G93" s="24">
        <f>INDEX(Output!$B$3:$P$17,MATCH('Defensive Summary'!G$1,Output!$A$3:$A$17,0),MATCH('Defensive Summary'!$A93,Output!$B$2:$P$2,0))*INDEX(Output!$B$3:$P$17,MATCH('Defensive Summary'!G$1,Output!$A$3:$A$17,0),MATCH('Defensive Summary'!$B93,Output!$B$2:$P$2,0))</f>
        <v>1</v>
      </c>
      <c r="H93" s="24">
        <f>INDEX(Output!$B$3:$P$17,MATCH('Defensive Summary'!H$1,Output!$A$3:$A$17,0),MATCH('Defensive Summary'!$A93,Output!$B$2:$P$2,0))*INDEX(Output!$B$3:$P$17,MATCH('Defensive Summary'!H$1,Output!$A$3:$A$17,0),MATCH('Defensive Summary'!$B93,Output!$B$2:$P$2,0))</f>
        <v>1</v>
      </c>
      <c r="I93" s="24">
        <f>INDEX(Output!$B$3:$P$17,MATCH('Defensive Summary'!I$1,Output!$A$3:$A$17,0),MATCH('Defensive Summary'!$A93,Output!$B$2:$P$2,0))*INDEX(Output!$B$3:$P$17,MATCH('Defensive Summary'!I$1,Output!$A$3:$A$17,0),MATCH('Defensive Summary'!$B93,Output!$B$2:$P$2,0))</f>
        <v>0.5</v>
      </c>
      <c r="J93" s="24">
        <f>INDEX(Output!$B$3:$P$17,MATCH('Defensive Summary'!J$1,Output!$A$3:$A$17,0),MATCH('Defensive Summary'!$A93,Output!$B$2:$P$2,0))*INDEX(Output!$B$3:$P$17,MATCH('Defensive Summary'!J$1,Output!$A$3:$A$17,0),MATCH('Defensive Summary'!$B93,Output!$B$2:$P$2,0))</f>
        <v>0.5</v>
      </c>
      <c r="K93" s="24">
        <f>INDEX(Output!$B$3:$P$17,MATCH('Defensive Summary'!K$1,Output!$A$3:$A$17,0),MATCH('Defensive Summary'!$A93,Output!$B$2:$P$2,0))*INDEX(Output!$B$3:$P$17,MATCH('Defensive Summary'!K$1,Output!$A$3:$A$17,0),MATCH('Defensive Summary'!$B93,Output!$B$2:$P$2,0))</f>
        <v>0</v>
      </c>
      <c r="L93" s="24">
        <f>INDEX(Output!$B$3:$P$17,MATCH('Defensive Summary'!L$1,Output!$A$3:$A$17,0),MATCH('Defensive Summary'!$A93,Output!$B$2:$P$2,0))*INDEX(Output!$B$3:$P$17,MATCH('Defensive Summary'!L$1,Output!$A$3:$A$17,0),MATCH('Defensive Summary'!$B93,Output!$B$2:$P$2,0))</f>
        <v>1</v>
      </c>
      <c r="M93" s="24">
        <f>INDEX(Output!$B$3:$P$17,MATCH('Defensive Summary'!M$1,Output!$A$3:$A$17,0),MATCH('Defensive Summary'!$A93,Output!$B$2:$P$2,0))*INDEX(Output!$B$3:$P$17,MATCH('Defensive Summary'!M$1,Output!$A$3:$A$17,0),MATCH('Defensive Summary'!$B93,Output!$B$2:$P$2,0))</f>
        <v>2</v>
      </c>
      <c r="N93" s="24">
        <f>INDEX(Output!$B$3:$P$17,MATCH('Defensive Summary'!N$1,Output!$A$3:$A$17,0),MATCH('Defensive Summary'!$A93,Output!$B$2:$P$2,0))*INDEX(Output!$B$3:$P$17,MATCH('Defensive Summary'!N$1,Output!$A$3:$A$17,0),MATCH('Defensive Summary'!$B93,Output!$B$2:$P$2,0))</f>
        <v>0.5</v>
      </c>
      <c r="O93" s="24">
        <f>INDEX(Output!$B$3:$P$17,MATCH('Defensive Summary'!O$1,Output!$A$3:$A$17,0),MATCH('Defensive Summary'!$A93,Output!$B$2:$P$2,0))*INDEX(Output!$B$3:$P$17,MATCH('Defensive Summary'!O$1,Output!$A$3:$A$17,0),MATCH('Defensive Summary'!$B93,Output!$B$2:$P$2,0))</f>
        <v>1</v>
      </c>
      <c r="P93" s="24">
        <f>INDEX(Output!$B$3:$P$17,MATCH('Defensive Summary'!P$1,Output!$A$3:$A$17,0),MATCH('Defensive Summary'!$A93,Output!$B$2:$P$2,0))*INDEX(Output!$B$3:$P$17,MATCH('Defensive Summary'!P$1,Output!$A$3:$A$17,0),MATCH('Defensive Summary'!$B93,Output!$B$2:$P$2,0))</f>
        <v>1</v>
      </c>
      <c r="Q93" s="24">
        <f>INDEX(Output!$B$3:$P$17,MATCH('Defensive Summary'!Q$1,Output!$A$3:$A$17,0),MATCH('Defensive Summary'!$A93,Output!$B$2:$P$2,0))*INDEX(Output!$B$3:$P$17,MATCH('Defensive Summary'!Q$1,Output!$A$3:$A$17,0),MATCH('Defensive Summary'!$B93,Output!$B$2:$P$2,0))</f>
        <v>1</v>
      </c>
      <c r="R93" s="24"/>
      <c r="S93" s="25">
        <f t="shared" si="1"/>
        <v>6</v>
      </c>
      <c r="T93" s="22" t="s">
        <v>9</v>
      </c>
      <c r="U93" s="22" t="s">
        <v>11</v>
      </c>
      <c r="V93" s="24" cm="1">
        <f t="array" ref="V93">_xlfn.IFS(C93=1,0,C93=2,-1,C93=4,-2,C93=0.5,1,C93=0.25,2,C93=0,4)</f>
        <v>0</v>
      </c>
      <c r="W93" s="24" cm="1">
        <f t="array" ref="W93">_xlfn.IFS(D93=1,0,D93=2,-1,D93=4,-2,D93=0.5,1,D93=0.25,2,D93=0,4)</f>
        <v>0</v>
      </c>
      <c r="X93" s="24" cm="1">
        <f t="array" ref="X93">_xlfn.IFS(E93=1,0,E93=2,-1,E93=4,-2,E93=0.5,1,E93=0.25,2,E93=0,4)</f>
        <v>0</v>
      </c>
      <c r="Y93" s="24" cm="1">
        <f t="array" ref="Y93">_xlfn.IFS(F93=1,0,F93=2,-1,F93=4,-2,F93=0.5,1,F93=0.25,2,F93=0,4)</f>
        <v>0</v>
      </c>
      <c r="Z93" s="24" cm="1">
        <f t="array" ref="Z93">_xlfn.IFS(G93=1,0,G93=2,-1,G93=4,-2,G93=0.5,1,G93=0.25,2,G93=0,4)</f>
        <v>0</v>
      </c>
      <c r="AA93" s="24" cm="1">
        <f t="array" ref="AA93">_xlfn.IFS(H93=1,0,H93=2,-1,H93=4,-2,H93=0.5,1,H93=0.25,2,H93=0,4)</f>
        <v>0</v>
      </c>
      <c r="AB93" s="24" cm="1">
        <f t="array" ref="AB93">_xlfn.IFS(I93=1,0,I93=2,-1,I93=4,-2,I93=0.5,1,I93=0.25,2,I93=0,4)</f>
        <v>1</v>
      </c>
      <c r="AC93" s="24" cm="1">
        <f t="array" ref="AC93">_xlfn.IFS(J93=1,0,J93=2,-1,J93=4,-2,J93=0.5,1,J93=0.25,2,J93=0,4)</f>
        <v>1</v>
      </c>
      <c r="AD93" s="24" cm="1">
        <f t="array" ref="AD93">_xlfn.IFS(K93=1,0,K93=2,-1,K93=4,-2,K93=0.5,1,K93=0.25,2,K93=0,4)</f>
        <v>4</v>
      </c>
      <c r="AE93" s="24" cm="1">
        <f t="array" ref="AE93">_xlfn.IFS(L93=1,0,L93=2,-1,L93=4,-2,L93=0.5,1,L93=0.25,2,L93=0,4)</f>
        <v>0</v>
      </c>
      <c r="AF93" s="24" cm="1">
        <f t="array" ref="AF93">_xlfn.IFS(M93=1,0,M93=2,-1,M93=4,-2,M93=0.5,1,M93=0.25,2,M93=0,4)</f>
        <v>-1</v>
      </c>
      <c r="AG93" s="24" cm="1">
        <f t="array" ref="AG93">_xlfn.IFS(N93=1,0,N93=2,-1,N93=4,-2,N93=0.5,1,N93=0.25,2,N93=0,4)</f>
        <v>1</v>
      </c>
      <c r="AH93" s="24" cm="1">
        <f t="array" ref="AH93">_xlfn.IFS(O93=1,0,O93=2,-1,O93=4,-2,O93=0.5,1,O93=0.25,2,O93=0,4)</f>
        <v>0</v>
      </c>
      <c r="AI93" s="24" cm="1">
        <f t="array" ref="AI93">_xlfn.IFS(P93=1,0,P93=2,-1,P93=4,-2,P93=0.5,1,P93=0.25,2,P93=0,4)</f>
        <v>0</v>
      </c>
      <c r="AJ93" s="24" cm="1">
        <f t="array" ref="AJ93">_xlfn.IFS(Q93=1,0,Q93=2,-1,Q93=4,-2,Q93=0.5,1,Q93=0.25,2,Q93=0,4)</f>
        <v>0</v>
      </c>
    </row>
    <row r="94" spans="1:36" x14ac:dyDescent="0.2">
      <c r="A94" s="22" t="s">
        <v>9</v>
      </c>
      <c r="B94" s="22" t="s">
        <v>12</v>
      </c>
      <c r="C94" s="24">
        <f>INDEX(Output!$B$3:$P$17,MATCH('Defensive Summary'!C$1,Output!$A$3:$A$17,0),MATCH('Defensive Summary'!$A94,Output!$B$2:$P$2,0))*INDEX(Output!$B$3:$P$17,MATCH('Defensive Summary'!C$1,Output!$A$3:$A$17,0),MATCH('Defensive Summary'!$B94,Output!$B$2:$P$2,0))</f>
        <v>2</v>
      </c>
      <c r="D94" s="24">
        <f>INDEX(Output!$B$3:$P$17,MATCH('Defensive Summary'!D$1,Output!$A$3:$A$17,0),MATCH('Defensive Summary'!$A94,Output!$B$2:$P$2,0))*INDEX(Output!$B$3:$P$17,MATCH('Defensive Summary'!D$1,Output!$A$3:$A$17,0),MATCH('Defensive Summary'!$B94,Output!$B$2:$P$2,0))</f>
        <v>2</v>
      </c>
      <c r="E94" s="24">
        <f>INDEX(Output!$B$3:$P$17,MATCH('Defensive Summary'!E$1,Output!$A$3:$A$17,0),MATCH('Defensive Summary'!$A94,Output!$B$2:$P$2,0))*INDEX(Output!$B$3:$P$17,MATCH('Defensive Summary'!E$1,Output!$A$3:$A$17,0),MATCH('Defensive Summary'!$B94,Output!$B$2:$P$2,0))</f>
        <v>2</v>
      </c>
      <c r="F94" s="24">
        <f>INDEX(Output!$B$3:$P$17,MATCH('Defensive Summary'!F$1,Output!$A$3:$A$17,0),MATCH('Defensive Summary'!$A94,Output!$B$2:$P$2,0))*INDEX(Output!$B$3:$P$17,MATCH('Defensive Summary'!F$1,Output!$A$3:$A$17,0),MATCH('Defensive Summary'!$B94,Output!$B$2:$P$2,0))</f>
        <v>1</v>
      </c>
      <c r="G94" s="24">
        <f>INDEX(Output!$B$3:$P$17,MATCH('Defensive Summary'!G$1,Output!$A$3:$A$17,0),MATCH('Defensive Summary'!$A94,Output!$B$2:$P$2,0))*INDEX(Output!$B$3:$P$17,MATCH('Defensive Summary'!G$1,Output!$A$3:$A$17,0),MATCH('Defensive Summary'!$B94,Output!$B$2:$P$2,0))</f>
        <v>0.5</v>
      </c>
      <c r="H94" s="24">
        <f>INDEX(Output!$B$3:$P$17,MATCH('Defensive Summary'!H$1,Output!$A$3:$A$17,0),MATCH('Defensive Summary'!$A94,Output!$B$2:$P$2,0))*INDEX(Output!$B$3:$P$17,MATCH('Defensive Summary'!H$1,Output!$A$3:$A$17,0),MATCH('Defensive Summary'!$B94,Output!$B$2:$P$2,0))</f>
        <v>2</v>
      </c>
      <c r="I94" s="24">
        <f>INDEX(Output!$B$3:$P$17,MATCH('Defensive Summary'!I$1,Output!$A$3:$A$17,0),MATCH('Defensive Summary'!$A94,Output!$B$2:$P$2,0))*INDEX(Output!$B$3:$P$17,MATCH('Defensive Summary'!I$1,Output!$A$3:$A$17,0),MATCH('Defensive Summary'!$B94,Output!$B$2:$P$2,0))</f>
        <v>2</v>
      </c>
      <c r="J94" s="24">
        <f>INDEX(Output!$B$3:$P$17,MATCH('Defensive Summary'!J$1,Output!$A$3:$A$17,0),MATCH('Defensive Summary'!$A94,Output!$B$2:$P$2,0))*INDEX(Output!$B$3:$P$17,MATCH('Defensive Summary'!J$1,Output!$A$3:$A$17,0),MATCH('Defensive Summary'!$B94,Output!$B$2:$P$2,0))</f>
        <v>0.25</v>
      </c>
      <c r="K94" s="24">
        <f>INDEX(Output!$B$3:$P$17,MATCH('Defensive Summary'!K$1,Output!$A$3:$A$17,0),MATCH('Defensive Summary'!$A94,Output!$B$2:$P$2,0))*INDEX(Output!$B$3:$P$17,MATCH('Defensive Summary'!K$1,Output!$A$3:$A$17,0),MATCH('Defensive Summary'!$B94,Output!$B$2:$P$2,0))</f>
        <v>0</v>
      </c>
      <c r="L94" s="24">
        <f>INDEX(Output!$B$3:$P$17,MATCH('Defensive Summary'!L$1,Output!$A$3:$A$17,0),MATCH('Defensive Summary'!$A94,Output!$B$2:$P$2,0))*INDEX(Output!$B$3:$P$17,MATCH('Defensive Summary'!L$1,Output!$A$3:$A$17,0),MATCH('Defensive Summary'!$B94,Output!$B$2:$P$2,0))</f>
        <v>2</v>
      </c>
      <c r="M94" s="24">
        <f>INDEX(Output!$B$3:$P$17,MATCH('Defensive Summary'!M$1,Output!$A$3:$A$17,0),MATCH('Defensive Summary'!$A94,Output!$B$2:$P$2,0))*INDEX(Output!$B$3:$P$17,MATCH('Defensive Summary'!M$1,Output!$A$3:$A$17,0),MATCH('Defensive Summary'!$B94,Output!$B$2:$P$2,0))</f>
        <v>2</v>
      </c>
      <c r="N94" s="24">
        <f>INDEX(Output!$B$3:$P$17,MATCH('Defensive Summary'!N$1,Output!$A$3:$A$17,0),MATCH('Defensive Summary'!$A94,Output!$B$2:$P$2,0))*INDEX(Output!$B$3:$P$17,MATCH('Defensive Summary'!N$1,Output!$A$3:$A$17,0),MATCH('Defensive Summary'!$B94,Output!$B$2:$P$2,0))</f>
        <v>0</v>
      </c>
      <c r="O94" s="24">
        <f>INDEX(Output!$B$3:$P$17,MATCH('Defensive Summary'!O$1,Output!$A$3:$A$17,0),MATCH('Defensive Summary'!$A94,Output!$B$2:$P$2,0))*INDEX(Output!$B$3:$P$17,MATCH('Defensive Summary'!O$1,Output!$A$3:$A$17,0),MATCH('Defensive Summary'!$B94,Output!$B$2:$P$2,0))</f>
        <v>0.25</v>
      </c>
      <c r="P94" s="24">
        <f>INDEX(Output!$B$3:$P$17,MATCH('Defensive Summary'!P$1,Output!$A$3:$A$17,0),MATCH('Defensive Summary'!$A94,Output!$B$2:$P$2,0))*INDEX(Output!$B$3:$P$17,MATCH('Defensive Summary'!P$1,Output!$A$3:$A$17,0),MATCH('Defensive Summary'!$B94,Output!$B$2:$P$2,0))</f>
        <v>0</v>
      </c>
      <c r="Q94" s="24">
        <f>INDEX(Output!$B$3:$P$17,MATCH('Defensive Summary'!Q$1,Output!$A$3:$A$17,0),MATCH('Defensive Summary'!$A94,Output!$B$2:$P$2,0))*INDEX(Output!$B$3:$P$17,MATCH('Defensive Summary'!Q$1,Output!$A$3:$A$17,0),MATCH('Defensive Summary'!$B94,Output!$B$2:$P$2,0))</f>
        <v>1</v>
      </c>
      <c r="R94" s="24"/>
      <c r="S94" s="25">
        <f t="shared" si="1"/>
        <v>10</v>
      </c>
      <c r="T94" s="22" t="s">
        <v>9</v>
      </c>
      <c r="U94" s="22" t="s">
        <v>12</v>
      </c>
      <c r="V94" s="24" cm="1">
        <f t="array" ref="V94">_xlfn.IFS(C94=1,0,C94=2,-1,C94=4,-2,C94=0.5,1,C94=0.25,2,C94=0,4)</f>
        <v>-1</v>
      </c>
      <c r="W94" s="24" cm="1">
        <f t="array" ref="W94">_xlfn.IFS(D94=1,0,D94=2,-1,D94=4,-2,D94=0.5,1,D94=0.25,2,D94=0,4)</f>
        <v>-1</v>
      </c>
      <c r="X94" s="24" cm="1">
        <f t="array" ref="X94">_xlfn.IFS(E94=1,0,E94=2,-1,E94=4,-2,E94=0.5,1,E94=0.25,2,E94=0,4)</f>
        <v>-1</v>
      </c>
      <c r="Y94" s="24" cm="1">
        <f t="array" ref="Y94">_xlfn.IFS(F94=1,0,F94=2,-1,F94=4,-2,F94=0.5,1,F94=0.25,2,F94=0,4)</f>
        <v>0</v>
      </c>
      <c r="Z94" s="24" cm="1">
        <f t="array" ref="Z94">_xlfn.IFS(G94=1,0,G94=2,-1,G94=4,-2,G94=0.5,1,G94=0.25,2,G94=0,4)</f>
        <v>1</v>
      </c>
      <c r="AA94" s="24" cm="1">
        <f t="array" ref="AA94">_xlfn.IFS(H94=1,0,H94=2,-1,H94=4,-2,H94=0.5,1,H94=0.25,2,H94=0,4)</f>
        <v>-1</v>
      </c>
      <c r="AB94" s="24" cm="1">
        <f t="array" ref="AB94">_xlfn.IFS(I94=1,0,I94=2,-1,I94=4,-2,I94=0.5,1,I94=0.25,2,I94=0,4)</f>
        <v>-1</v>
      </c>
      <c r="AC94" s="24" cm="1">
        <f t="array" ref="AC94">_xlfn.IFS(J94=1,0,J94=2,-1,J94=4,-2,J94=0.5,1,J94=0.25,2,J94=0,4)</f>
        <v>2</v>
      </c>
      <c r="AD94" s="24" cm="1">
        <f t="array" ref="AD94">_xlfn.IFS(K94=1,0,K94=2,-1,K94=4,-2,K94=0.5,1,K94=0.25,2,K94=0,4)</f>
        <v>4</v>
      </c>
      <c r="AE94" s="24" cm="1">
        <f t="array" ref="AE94">_xlfn.IFS(L94=1,0,L94=2,-1,L94=4,-2,L94=0.5,1,L94=0.25,2,L94=0,4)</f>
        <v>-1</v>
      </c>
      <c r="AF94" s="24" cm="1">
        <f t="array" ref="AF94">_xlfn.IFS(M94=1,0,M94=2,-1,M94=4,-2,M94=0.5,1,M94=0.25,2,M94=0,4)</f>
        <v>-1</v>
      </c>
      <c r="AG94" s="24" cm="1">
        <f t="array" ref="AG94">_xlfn.IFS(N94=1,0,N94=2,-1,N94=4,-2,N94=0.5,1,N94=0.25,2,N94=0,4)</f>
        <v>4</v>
      </c>
      <c r="AH94" s="24" cm="1">
        <f t="array" ref="AH94">_xlfn.IFS(O94=1,0,O94=2,-1,O94=4,-2,O94=0.5,1,O94=0.25,2,O94=0,4)</f>
        <v>2</v>
      </c>
      <c r="AI94" s="24" cm="1">
        <f t="array" ref="AI94">_xlfn.IFS(P94=1,0,P94=2,-1,P94=4,-2,P94=0.5,1,P94=0.25,2,P94=0,4)</f>
        <v>4</v>
      </c>
      <c r="AJ94" s="24" cm="1">
        <f t="array" ref="AJ94">_xlfn.IFS(Q94=1,0,Q94=2,-1,Q94=4,-2,Q94=0.5,1,Q94=0.25,2,Q94=0,4)</f>
        <v>0</v>
      </c>
    </row>
    <row r="95" spans="1:36" x14ac:dyDescent="0.2">
      <c r="A95" s="22" t="s">
        <v>9</v>
      </c>
      <c r="B95" s="22" t="s">
        <v>13</v>
      </c>
      <c r="C95" s="24">
        <f>INDEX(Output!$B$3:$P$17,MATCH('Defensive Summary'!C$1,Output!$A$3:$A$17,0),MATCH('Defensive Summary'!$A95,Output!$B$2:$P$2,0))*INDEX(Output!$B$3:$P$17,MATCH('Defensive Summary'!C$1,Output!$A$3:$A$17,0),MATCH('Defensive Summary'!$B95,Output!$B$2:$P$2,0))</f>
        <v>1</v>
      </c>
      <c r="D95" s="24">
        <f>INDEX(Output!$B$3:$P$17,MATCH('Defensive Summary'!D$1,Output!$A$3:$A$17,0),MATCH('Defensive Summary'!$A95,Output!$B$2:$P$2,0))*INDEX(Output!$B$3:$P$17,MATCH('Defensive Summary'!D$1,Output!$A$3:$A$17,0),MATCH('Defensive Summary'!$B95,Output!$B$2:$P$2,0))</f>
        <v>0.5</v>
      </c>
      <c r="E95" s="24">
        <f>INDEX(Output!$B$3:$P$17,MATCH('Defensive Summary'!E$1,Output!$A$3:$A$17,0),MATCH('Defensive Summary'!$A95,Output!$B$2:$P$2,0))*INDEX(Output!$B$3:$P$17,MATCH('Defensive Summary'!E$1,Output!$A$3:$A$17,0),MATCH('Defensive Summary'!$B95,Output!$B$2:$P$2,0))</f>
        <v>1</v>
      </c>
      <c r="F95" s="24">
        <f>INDEX(Output!$B$3:$P$17,MATCH('Defensive Summary'!F$1,Output!$A$3:$A$17,0),MATCH('Defensive Summary'!$A95,Output!$B$2:$P$2,0))*INDEX(Output!$B$3:$P$17,MATCH('Defensive Summary'!F$1,Output!$A$3:$A$17,0),MATCH('Defensive Summary'!$B95,Output!$B$2:$P$2,0))</f>
        <v>1</v>
      </c>
      <c r="G95" s="24">
        <f>INDEX(Output!$B$3:$P$17,MATCH('Defensive Summary'!G$1,Output!$A$3:$A$17,0),MATCH('Defensive Summary'!$A95,Output!$B$2:$P$2,0))*INDEX(Output!$B$3:$P$17,MATCH('Defensive Summary'!G$1,Output!$A$3:$A$17,0),MATCH('Defensive Summary'!$B95,Output!$B$2:$P$2,0))</f>
        <v>1</v>
      </c>
      <c r="H95" s="24">
        <f>INDEX(Output!$B$3:$P$17,MATCH('Defensive Summary'!H$1,Output!$A$3:$A$17,0),MATCH('Defensive Summary'!$A95,Output!$B$2:$P$2,0))*INDEX(Output!$B$3:$P$17,MATCH('Defensive Summary'!H$1,Output!$A$3:$A$17,0),MATCH('Defensive Summary'!$B95,Output!$B$2:$P$2,0))</f>
        <v>0.5</v>
      </c>
      <c r="I95" s="24">
        <f>INDEX(Output!$B$3:$P$17,MATCH('Defensive Summary'!I$1,Output!$A$3:$A$17,0),MATCH('Defensive Summary'!$A95,Output!$B$2:$P$2,0))*INDEX(Output!$B$3:$P$17,MATCH('Defensive Summary'!I$1,Output!$A$3:$A$17,0),MATCH('Defensive Summary'!$B95,Output!$B$2:$P$2,0))</f>
        <v>0.5</v>
      </c>
      <c r="J95" s="24">
        <f>INDEX(Output!$B$3:$P$17,MATCH('Defensive Summary'!J$1,Output!$A$3:$A$17,0),MATCH('Defensive Summary'!$A95,Output!$B$2:$P$2,0))*INDEX(Output!$B$3:$P$17,MATCH('Defensive Summary'!J$1,Output!$A$3:$A$17,0),MATCH('Defensive Summary'!$B95,Output!$B$2:$P$2,0))</f>
        <v>0.5</v>
      </c>
      <c r="K95" s="24">
        <f>INDEX(Output!$B$3:$P$17,MATCH('Defensive Summary'!K$1,Output!$A$3:$A$17,0),MATCH('Defensive Summary'!$A95,Output!$B$2:$P$2,0))*INDEX(Output!$B$3:$P$17,MATCH('Defensive Summary'!K$1,Output!$A$3:$A$17,0),MATCH('Defensive Summary'!$B95,Output!$B$2:$P$2,0))</f>
        <v>0</v>
      </c>
      <c r="L95" s="24">
        <f>INDEX(Output!$B$3:$P$17,MATCH('Defensive Summary'!L$1,Output!$A$3:$A$17,0),MATCH('Defensive Summary'!$A95,Output!$B$2:$P$2,0))*INDEX(Output!$B$3:$P$17,MATCH('Defensive Summary'!L$1,Output!$A$3:$A$17,0),MATCH('Defensive Summary'!$B95,Output!$B$2:$P$2,0))</f>
        <v>1</v>
      </c>
      <c r="M95" s="24">
        <f>INDEX(Output!$B$3:$P$17,MATCH('Defensive Summary'!M$1,Output!$A$3:$A$17,0),MATCH('Defensive Summary'!$A95,Output!$B$2:$P$2,0))*INDEX(Output!$B$3:$P$17,MATCH('Defensive Summary'!M$1,Output!$A$3:$A$17,0),MATCH('Defensive Summary'!$B95,Output!$B$2:$P$2,0))</f>
        <v>1</v>
      </c>
      <c r="N95" s="24">
        <f>INDEX(Output!$B$3:$P$17,MATCH('Defensive Summary'!N$1,Output!$A$3:$A$17,0),MATCH('Defensive Summary'!$A95,Output!$B$2:$P$2,0))*INDEX(Output!$B$3:$P$17,MATCH('Defensive Summary'!N$1,Output!$A$3:$A$17,0),MATCH('Defensive Summary'!$B95,Output!$B$2:$P$2,0))</f>
        <v>0.5</v>
      </c>
      <c r="O95" s="24">
        <f>INDEX(Output!$B$3:$P$17,MATCH('Defensive Summary'!O$1,Output!$A$3:$A$17,0),MATCH('Defensive Summary'!$A95,Output!$B$2:$P$2,0))*INDEX(Output!$B$3:$P$17,MATCH('Defensive Summary'!O$1,Output!$A$3:$A$17,0),MATCH('Defensive Summary'!$B95,Output!$B$2:$P$2,0))</f>
        <v>1</v>
      </c>
      <c r="P95" s="24">
        <f>INDEX(Output!$B$3:$P$17,MATCH('Defensive Summary'!P$1,Output!$A$3:$A$17,0),MATCH('Defensive Summary'!$A95,Output!$B$2:$P$2,0))*INDEX(Output!$B$3:$P$17,MATCH('Defensive Summary'!P$1,Output!$A$3:$A$17,0),MATCH('Defensive Summary'!$B95,Output!$B$2:$P$2,0))</f>
        <v>1</v>
      </c>
      <c r="Q95" s="24">
        <f>INDEX(Output!$B$3:$P$17,MATCH('Defensive Summary'!Q$1,Output!$A$3:$A$17,0),MATCH('Defensive Summary'!$A95,Output!$B$2:$P$2,0))*INDEX(Output!$B$3:$P$17,MATCH('Defensive Summary'!Q$1,Output!$A$3:$A$17,0),MATCH('Defensive Summary'!$B95,Output!$B$2:$P$2,0))</f>
        <v>1</v>
      </c>
      <c r="R95" s="24"/>
      <c r="S95" s="25">
        <f t="shared" si="1"/>
        <v>9</v>
      </c>
      <c r="T95" s="22" t="s">
        <v>9</v>
      </c>
      <c r="U95" s="22" t="s">
        <v>13</v>
      </c>
      <c r="V95" s="24" cm="1">
        <f t="array" ref="V95">_xlfn.IFS(C95=1,0,C95=2,-1,C95=4,-2,C95=0.5,1,C95=0.25,2,C95=0,4)</f>
        <v>0</v>
      </c>
      <c r="W95" s="24" cm="1">
        <f t="array" ref="W95">_xlfn.IFS(D95=1,0,D95=2,-1,D95=4,-2,D95=0.5,1,D95=0.25,2,D95=0,4)</f>
        <v>1</v>
      </c>
      <c r="X95" s="24" cm="1">
        <f t="array" ref="X95">_xlfn.IFS(E95=1,0,E95=2,-1,E95=4,-2,E95=0.5,1,E95=0.25,2,E95=0,4)</f>
        <v>0</v>
      </c>
      <c r="Y95" s="24" cm="1">
        <f t="array" ref="Y95">_xlfn.IFS(F95=1,0,F95=2,-1,F95=4,-2,F95=0.5,1,F95=0.25,2,F95=0,4)</f>
        <v>0</v>
      </c>
      <c r="Z95" s="24" cm="1">
        <f t="array" ref="Z95">_xlfn.IFS(G95=1,0,G95=2,-1,G95=4,-2,G95=0.5,1,G95=0.25,2,G95=0,4)</f>
        <v>0</v>
      </c>
      <c r="AA95" s="24" cm="1">
        <f t="array" ref="AA95">_xlfn.IFS(H95=1,0,H95=2,-1,H95=4,-2,H95=0.5,1,H95=0.25,2,H95=0,4)</f>
        <v>1</v>
      </c>
      <c r="AB95" s="24" cm="1">
        <f t="array" ref="AB95">_xlfn.IFS(I95=1,0,I95=2,-1,I95=4,-2,I95=0.5,1,I95=0.25,2,I95=0,4)</f>
        <v>1</v>
      </c>
      <c r="AC95" s="24" cm="1">
        <f t="array" ref="AC95">_xlfn.IFS(J95=1,0,J95=2,-1,J95=4,-2,J95=0.5,1,J95=0.25,2,J95=0,4)</f>
        <v>1</v>
      </c>
      <c r="AD95" s="24" cm="1">
        <f t="array" ref="AD95">_xlfn.IFS(K95=1,0,K95=2,-1,K95=4,-2,K95=0.5,1,K95=0.25,2,K95=0,4)</f>
        <v>4</v>
      </c>
      <c r="AE95" s="24" cm="1">
        <f t="array" ref="AE95">_xlfn.IFS(L95=1,0,L95=2,-1,L95=4,-2,L95=0.5,1,L95=0.25,2,L95=0,4)</f>
        <v>0</v>
      </c>
      <c r="AF95" s="24" cm="1">
        <f t="array" ref="AF95">_xlfn.IFS(M95=1,0,M95=2,-1,M95=4,-2,M95=0.5,1,M95=0.25,2,M95=0,4)</f>
        <v>0</v>
      </c>
      <c r="AG95" s="24" cm="1">
        <f t="array" ref="AG95">_xlfn.IFS(N95=1,0,N95=2,-1,N95=4,-2,N95=0.5,1,N95=0.25,2,N95=0,4)</f>
        <v>1</v>
      </c>
      <c r="AH95" s="24" cm="1">
        <f t="array" ref="AH95">_xlfn.IFS(O95=1,0,O95=2,-1,O95=4,-2,O95=0.5,1,O95=0.25,2,O95=0,4)</f>
        <v>0</v>
      </c>
      <c r="AI95" s="24" cm="1">
        <f t="array" ref="AI95">_xlfn.IFS(P95=1,0,P95=2,-1,P95=4,-2,P95=0.5,1,P95=0.25,2,P95=0,4)</f>
        <v>0</v>
      </c>
      <c r="AJ95" s="24" cm="1">
        <f t="array" ref="AJ95">_xlfn.IFS(Q95=1,0,Q95=2,-1,Q95=4,-2,Q95=0.5,1,Q95=0.25,2,Q95=0,4)</f>
        <v>0</v>
      </c>
    </row>
    <row r="96" spans="1:36" x14ac:dyDescent="0.2">
      <c r="A96" s="22" t="s">
        <v>9</v>
      </c>
      <c r="B96" s="22" t="s">
        <v>14</v>
      </c>
      <c r="C96" s="24">
        <f>INDEX(Output!$B$3:$P$17,MATCH('Defensive Summary'!C$1,Output!$A$3:$A$17,0),MATCH('Defensive Summary'!$A96,Output!$B$2:$P$2,0))*INDEX(Output!$B$3:$P$17,MATCH('Defensive Summary'!C$1,Output!$A$3:$A$17,0),MATCH('Defensive Summary'!$B96,Output!$B$2:$P$2,0))</f>
        <v>1</v>
      </c>
      <c r="D96" s="24">
        <f>INDEX(Output!$B$3:$P$17,MATCH('Defensive Summary'!D$1,Output!$A$3:$A$17,0),MATCH('Defensive Summary'!$A96,Output!$B$2:$P$2,0))*INDEX(Output!$B$3:$P$17,MATCH('Defensive Summary'!D$1,Output!$A$3:$A$17,0),MATCH('Defensive Summary'!$B96,Output!$B$2:$P$2,0))</f>
        <v>1</v>
      </c>
      <c r="E96" s="24">
        <f>INDEX(Output!$B$3:$P$17,MATCH('Defensive Summary'!E$1,Output!$A$3:$A$17,0),MATCH('Defensive Summary'!$A96,Output!$B$2:$P$2,0))*INDEX(Output!$B$3:$P$17,MATCH('Defensive Summary'!E$1,Output!$A$3:$A$17,0),MATCH('Defensive Summary'!$B96,Output!$B$2:$P$2,0))</f>
        <v>1</v>
      </c>
      <c r="F96" s="24">
        <f>INDEX(Output!$B$3:$P$17,MATCH('Defensive Summary'!F$1,Output!$A$3:$A$17,0),MATCH('Defensive Summary'!$A96,Output!$B$2:$P$2,0))*INDEX(Output!$B$3:$P$17,MATCH('Defensive Summary'!F$1,Output!$A$3:$A$17,0),MATCH('Defensive Summary'!$B96,Output!$B$2:$P$2,0))</f>
        <v>1</v>
      </c>
      <c r="G96" s="24">
        <f>INDEX(Output!$B$3:$P$17,MATCH('Defensive Summary'!G$1,Output!$A$3:$A$17,0),MATCH('Defensive Summary'!$A96,Output!$B$2:$P$2,0))*INDEX(Output!$B$3:$P$17,MATCH('Defensive Summary'!G$1,Output!$A$3:$A$17,0),MATCH('Defensive Summary'!$B96,Output!$B$2:$P$2,0))</f>
        <v>1</v>
      </c>
      <c r="H96" s="24">
        <f>INDEX(Output!$B$3:$P$17,MATCH('Defensive Summary'!H$1,Output!$A$3:$A$17,0),MATCH('Defensive Summary'!$A96,Output!$B$2:$P$2,0))*INDEX(Output!$B$3:$P$17,MATCH('Defensive Summary'!H$1,Output!$A$3:$A$17,0),MATCH('Defensive Summary'!$B96,Output!$B$2:$P$2,0))</f>
        <v>1</v>
      </c>
      <c r="I96" s="24">
        <f>INDEX(Output!$B$3:$P$17,MATCH('Defensive Summary'!I$1,Output!$A$3:$A$17,0),MATCH('Defensive Summary'!$A96,Output!$B$2:$P$2,0))*INDEX(Output!$B$3:$P$17,MATCH('Defensive Summary'!I$1,Output!$A$3:$A$17,0),MATCH('Defensive Summary'!$B96,Output!$B$2:$P$2,0))</f>
        <v>1</v>
      </c>
      <c r="J96" s="24">
        <f>INDEX(Output!$B$3:$P$17,MATCH('Defensive Summary'!J$1,Output!$A$3:$A$17,0),MATCH('Defensive Summary'!$A96,Output!$B$2:$P$2,0))*INDEX(Output!$B$3:$P$17,MATCH('Defensive Summary'!J$1,Output!$A$3:$A$17,0),MATCH('Defensive Summary'!$B96,Output!$B$2:$P$2,0))</f>
        <v>0.5</v>
      </c>
      <c r="K96" s="24">
        <f>INDEX(Output!$B$3:$P$17,MATCH('Defensive Summary'!K$1,Output!$A$3:$A$17,0),MATCH('Defensive Summary'!$A96,Output!$B$2:$P$2,0))*INDEX(Output!$B$3:$P$17,MATCH('Defensive Summary'!K$1,Output!$A$3:$A$17,0),MATCH('Defensive Summary'!$B96,Output!$B$2:$P$2,0))</f>
        <v>0</v>
      </c>
      <c r="L96" s="24">
        <f>INDEX(Output!$B$3:$P$17,MATCH('Defensive Summary'!L$1,Output!$A$3:$A$17,0),MATCH('Defensive Summary'!$A96,Output!$B$2:$P$2,0))*INDEX(Output!$B$3:$P$17,MATCH('Defensive Summary'!L$1,Output!$A$3:$A$17,0),MATCH('Defensive Summary'!$B96,Output!$B$2:$P$2,0))</f>
        <v>1</v>
      </c>
      <c r="M96" s="24">
        <f>INDEX(Output!$B$3:$P$17,MATCH('Defensive Summary'!M$1,Output!$A$3:$A$17,0),MATCH('Defensive Summary'!$A96,Output!$B$2:$P$2,0))*INDEX(Output!$B$3:$P$17,MATCH('Defensive Summary'!M$1,Output!$A$3:$A$17,0),MATCH('Defensive Summary'!$B96,Output!$B$2:$P$2,0))</f>
        <v>2</v>
      </c>
      <c r="N96" s="24">
        <f>INDEX(Output!$B$3:$P$17,MATCH('Defensive Summary'!N$1,Output!$A$3:$A$17,0),MATCH('Defensive Summary'!$A96,Output!$B$2:$P$2,0))*INDEX(Output!$B$3:$P$17,MATCH('Defensive Summary'!N$1,Output!$A$3:$A$17,0),MATCH('Defensive Summary'!$B96,Output!$B$2:$P$2,0))</f>
        <v>1</v>
      </c>
      <c r="O96" s="24">
        <f>INDEX(Output!$B$3:$P$17,MATCH('Defensive Summary'!O$1,Output!$A$3:$A$17,0),MATCH('Defensive Summary'!$A96,Output!$B$2:$P$2,0))*INDEX(Output!$B$3:$P$17,MATCH('Defensive Summary'!O$1,Output!$A$3:$A$17,0),MATCH('Defensive Summary'!$B96,Output!$B$2:$P$2,0))</f>
        <v>0.5</v>
      </c>
      <c r="P96" s="24">
        <f>INDEX(Output!$B$3:$P$17,MATCH('Defensive Summary'!P$1,Output!$A$3:$A$17,0),MATCH('Defensive Summary'!$A96,Output!$B$2:$P$2,0))*INDEX(Output!$B$3:$P$17,MATCH('Defensive Summary'!P$1,Output!$A$3:$A$17,0),MATCH('Defensive Summary'!$B96,Output!$B$2:$P$2,0))</f>
        <v>2</v>
      </c>
      <c r="Q96" s="24">
        <f>INDEX(Output!$B$3:$P$17,MATCH('Defensive Summary'!Q$1,Output!$A$3:$A$17,0),MATCH('Defensive Summary'!$A96,Output!$B$2:$P$2,0))*INDEX(Output!$B$3:$P$17,MATCH('Defensive Summary'!Q$1,Output!$A$3:$A$17,0),MATCH('Defensive Summary'!$B96,Output!$B$2:$P$2,0))</f>
        <v>1</v>
      </c>
      <c r="R96" s="24"/>
      <c r="S96" s="25">
        <f t="shared" si="1"/>
        <v>4</v>
      </c>
      <c r="T96" s="22" t="s">
        <v>9</v>
      </c>
      <c r="U96" s="22" t="s">
        <v>14</v>
      </c>
      <c r="V96" s="24" cm="1">
        <f t="array" ref="V96">_xlfn.IFS(C96=1,0,C96=2,-1,C96=4,-2,C96=0.5,1,C96=0.25,2,C96=0,4)</f>
        <v>0</v>
      </c>
      <c r="W96" s="24" cm="1">
        <f t="array" ref="W96">_xlfn.IFS(D96=1,0,D96=2,-1,D96=4,-2,D96=0.5,1,D96=0.25,2,D96=0,4)</f>
        <v>0</v>
      </c>
      <c r="X96" s="24" cm="1">
        <f t="array" ref="X96">_xlfn.IFS(E96=1,0,E96=2,-1,E96=4,-2,E96=0.5,1,E96=0.25,2,E96=0,4)</f>
        <v>0</v>
      </c>
      <c r="Y96" s="24" cm="1">
        <f t="array" ref="Y96">_xlfn.IFS(F96=1,0,F96=2,-1,F96=4,-2,F96=0.5,1,F96=0.25,2,F96=0,4)</f>
        <v>0</v>
      </c>
      <c r="Z96" s="24" cm="1">
        <f t="array" ref="Z96">_xlfn.IFS(G96=1,0,G96=2,-1,G96=4,-2,G96=0.5,1,G96=0.25,2,G96=0,4)</f>
        <v>0</v>
      </c>
      <c r="AA96" s="24" cm="1">
        <f t="array" ref="AA96">_xlfn.IFS(H96=1,0,H96=2,-1,H96=4,-2,H96=0.5,1,H96=0.25,2,H96=0,4)</f>
        <v>0</v>
      </c>
      <c r="AB96" s="24" cm="1">
        <f t="array" ref="AB96">_xlfn.IFS(I96=1,0,I96=2,-1,I96=4,-2,I96=0.5,1,I96=0.25,2,I96=0,4)</f>
        <v>0</v>
      </c>
      <c r="AC96" s="24" cm="1">
        <f t="array" ref="AC96">_xlfn.IFS(J96=1,0,J96=2,-1,J96=4,-2,J96=0.5,1,J96=0.25,2,J96=0,4)</f>
        <v>1</v>
      </c>
      <c r="AD96" s="24" cm="1">
        <f t="array" ref="AD96">_xlfn.IFS(K96=1,0,K96=2,-1,K96=4,-2,K96=0.5,1,K96=0.25,2,K96=0,4)</f>
        <v>4</v>
      </c>
      <c r="AE96" s="24" cm="1">
        <f t="array" ref="AE96">_xlfn.IFS(L96=1,0,L96=2,-1,L96=4,-2,L96=0.5,1,L96=0.25,2,L96=0,4)</f>
        <v>0</v>
      </c>
      <c r="AF96" s="24" cm="1">
        <f t="array" ref="AF96">_xlfn.IFS(M96=1,0,M96=2,-1,M96=4,-2,M96=0.5,1,M96=0.25,2,M96=0,4)</f>
        <v>-1</v>
      </c>
      <c r="AG96" s="24" cm="1">
        <f t="array" ref="AG96">_xlfn.IFS(N96=1,0,N96=2,-1,N96=4,-2,N96=0.5,1,N96=0.25,2,N96=0,4)</f>
        <v>0</v>
      </c>
      <c r="AH96" s="24" cm="1">
        <f t="array" ref="AH96">_xlfn.IFS(O96=1,0,O96=2,-1,O96=4,-2,O96=0.5,1,O96=0.25,2,O96=0,4)</f>
        <v>1</v>
      </c>
      <c r="AI96" s="24" cm="1">
        <f t="array" ref="AI96">_xlfn.IFS(P96=1,0,P96=2,-1,P96=4,-2,P96=0.5,1,P96=0.25,2,P96=0,4)</f>
        <v>-1</v>
      </c>
      <c r="AJ96" s="24" cm="1">
        <f t="array" ref="AJ96">_xlfn.IFS(Q96=1,0,Q96=2,-1,Q96=4,-2,Q96=0.5,1,Q96=0.25,2,Q96=0,4)</f>
        <v>0</v>
      </c>
    </row>
    <row r="97" spans="1:36" x14ac:dyDescent="0.2">
      <c r="A97" s="22" t="s">
        <v>10</v>
      </c>
      <c r="B97" s="22" t="s">
        <v>11</v>
      </c>
      <c r="C97" s="24">
        <f>INDEX(Output!$B$3:$P$17,MATCH('Defensive Summary'!C$1,Output!$A$3:$A$17,0),MATCH('Defensive Summary'!$A97,Output!$B$2:$P$2,0))*INDEX(Output!$B$3:$P$17,MATCH('Defensive Summary'!C$1,Output!$A$3:$A$17,0),MATCH('Defensive Summary'!$B97,Output!$B$2:$P$2,0))</f>
        <v>2</v>
      </c>
      <c r="D97" s="24">
        <f>INDEX(Output!$B$3:$P$17,MATCH('Defensive Summary'!D$1,Output!$A$3:$A$17,0),MATCH('Defensive Summary'!$A97,Output!$B$2:$P$2,0))*INDEX(Output!$B$3:$P$17,MATCH('Defensive Summary'!D$1,Output!$A$3:$A$17,0),MATCH('Defensive Summary'!$B97,Output!$B$2:$P$2,0))</f>
        <v>1</v>
      </c>
      <c r="E97" s="24">
        <f>INDEX(Output!$B$3:$P$17,MATCH('Defensive Summary'!E$1,Output!$A$3:$A$17,0),MATCH('Defensive Summary'!$A97,Output!$B$2:$P$2,0))*INDEX(Output!$B$3:$P$17,MATCH('Defensive Summary'!E$1,Output!$A$3:$A$17,0),MATCH('Defensive Summary'!$B97,Output!$B$2:$P$2,0))</f>
        <v>0.5</v>
      </c>
      <c r="F97" s="24">
        <f>INDEX(Output!$B$3:$P$17,MATCH('Defensive Summary'!F$1,Output!$A$3:$A$17,0),MATCH('Defensive Summary'!$A97,Output!$B$2:$P$2,0))*INDEX(Output!$B$3:$P$17,MATCH('Defensive Summary'!F$1,Output!$A$3:$A$17,0),MATCH('Defensive Summary'!$B97,Output!$B$2:$P$2,0))</f>
        <v>1</v>
      </c>
      <c r="G97" s="24">
        <f>INDEX(Output!$B$3:$P$17,MATCH('Defensive Summary'!G$1,Output!$A$3:$A$17,0),MATCH('Defensive Summary'!$A97,Output!$B$2:$P$2,0))*INDEX(Output!$B$3:$P$17,MATCH('Defensive Summary'!G$1,Output!$A$3:$A$17,0),MATCH('Defensive Summary'!$B97,Output!$B$2:$P$2,0))</f>
        <v>2</v>
      </c>
      <c r="H97" s="24">
        <f>INDEX(Output!$B$3:$P$17,MATCH('Defensive Summary'!H$1,Output!$A$3:$A$17,0),MATCH('Defensive Summary'!$A97,Output!$B$2:$P$2,0))*INDEX(Output!$B$3:$P$17,MATCH('Defensive Summary'!H$1,Output!$A$3:$A$17,0),MATCH('Defensive Summary'!$B97,Output!$B$2:$P$2,0))</f>
        <v>2</v>
      </c>
      <c r="I97" s="24">
        <f>INDEX(Output!$B$3:$P$17,MATCH('Defensive Summary'!I$1,Output!$A$3:$A$17,0),MATCH('Defensive Summary'!$A97,Output!$B$2:$P$2,0))*INDEX(Output!$B$3:$P$17,MATCH('Defensive Summary'!I$1,Output!$A$3:$A$17,0),MATCH('Defensive Summary'!$B97,Output!$B$2:$P$2,0))</f>
        <v>0.25</v>
      </c>
      <c r="J97" s="24">
        <f>INDEX(Output!$B$3:$P$17,MATCH('Defensive Summary'!J$1,Output!$A$3:$A$17,0),MATCH('Defensive Summary'!$A97,Output!$B$2:$P$2,0))*INDEX(Output!$B$3:$P$17,MATCH('Defensive Summary'!J$1,Output!$A$3:$A$17,0),MATCH('Defensive Summary'!$B97,Output!$B$2:$P$2,0))</f>
        <v>2</v>
      </c>
      <c r="K97" s="24">
        <f>INDEX(Output!$B$3:$P$17,MATCH('Defensive Summary'!K$1,Output!$A$3:$A$17,0),MATCH('Defensive Summary'!$A97,Output!$B$2:$P$2,0))*INDEX(Output!$B$3:$P$17,MATCH('Defensive Summary'!K$1,Output!$A$3:$A$17,0),MATCH('Defensive Summary'!$B97,Output!$B$2:$P$2,0))</f>
        <v>0.5</v>
      </c>
      <c r="L97" s="24">
        <f>INDEX(Output!$B$3:$P$17,MATCH('Defensive Summary'!L$1,Output!$A$3:$A$17,0),MATCH('Defensive Summary'!$A97,Output!$B$2:$P$2,0))*INDEX(Output!$B$3:$P$17,MATCH('Defensive Summary'!L$1,Output!$A$3:$A$17,0),MATCH('Defensive Summary'!$B97,Output!$B$2:$P$2,0))</f>
        <v>0</v>
      </c>
      <c r="M97" s="24">
        <f>INDEX(Output!$B$3:$P$17,MATCH('Defensive Summary'!M$1,Output!$A$3:$A$17,0),MATCH('Defensive Summary'!$A97,Output!$B$2:$P$2,0))*INDEX(Output!$B$3:$P$17,MATCH('Defensive Summary'!M$1,Output!$A$3:$A$17,0),MATCH('Defensive Summary'!$B97,Output!$B$2:$P$2,0))</f>
        <v>1</v>
      </c>
      <c r="N97" s="24">
        <f>INDEX(Output!$B$3:$P$17,MATCH('Defensive Summary'!N$1,Output!$A$3:$A$17,0),MATCH('Defensive Summary'!$A97,Output!$B$2:$P$2,0))*INDEX(Output!$B$3:$P$17,MATCH('Defensive Summary'!N$1,Output!$A$3:$A$17,0),MATCH('Defensive Summary'!$B97,Output!$B$2:$P$2,0))</f>
        <v>0.25</v>
      </c>
      <c r="O97" s="24">
        <f>INDEX(Output!$B$3:$P$17,MATCH('Defensive Summary'!O$1,Output!$A$3:$A$17,0),MATCH('Defensive Summary'!$A97,Output!$B$2:$P$2,0))*INDEX(Output!$B$3:$P$17,MATCH('Defensive Summary'!O$1,Output!$A$3:$A$17,0),MATCH('Defensive Summary'!$B97,Output!$B$2:$P$2,0))</f>
        <v>1</v>
      </c>
      <c r="P97" s="24">
        <f>INDEX(Output!$B$3:$P$17,MATCH('Defensive Summary'!P$1,Output!$A$3:$A$17,0),MATCH('Defensive Summary'!$A97,Output!$B$2:$P$2,0))*INDEX(Output!$B$3:$P$17,MATCH('Defensive Summary'!P$1,Output!$A$3:$A$17,0),MATCH('Defensive Summary'!$B97,Output!$B$2:$P$2,0))</f>
        <v>0.5</v>
      </c>
      <c r="Q97" s="24">
        <f>INDEX(Output!$B$3:$P$17,MATCH('Defensive Summary'!Q$1,Output!$A$3:$A$17,0),MATCH('Defensive Summary'!$A97,Output!$B$2:$P$2,0))*INDEX(Output!$B$3:$P$17,MATCH('Defensive Summary'!Q$1,Output!$A$3:$A$17,0),MATCH('Defensive Summary'!$B97,Output!$B$2:$P$2,0))</f>
        <v>1</v>
      </c>
      <c r="R97" s="24"/>
      <c r="S97" s="25">
        <f t="shared" si="1"/>
        <v>7</v>
      </c>
      <c r="T97" s="22" t="s">
        <v>10</v>
      </c>
      <c r="U97" s="22" t="s">
        <v>11</v>
      </c>
      <c r="V97" s="24" cm="1">
        <f t="array" ref="V97">_xlfn.IFS(C97=1,0,C97=2,-1,C97=4,-2,C97=0.5,1,C97=0.25,2,C97=0,4)</f>
        <v>-1</v>
      </c>
      <c r="W97" s="24" cm="1">
        <f t="array" ref="W97">_xlfn.IFS(D97=1,0,D97=2,-1,D97=4,-2,D97=0.5,1,D97=0.25,2,D97=0,4)</f>
        <v>0</v>
      </c>
      <c r="X97" s="24" cm="1">
        <f t="array" ref="X97">_xlfn.IFS(E97=1,0,E97=2,-1,E97=4,-2,E97=0.5,1,E97=0.25,2,E97=0,4)</f>
        <v>1</v>
      </c>
      <c r="Y97" s="24" cm="1">
        <f t="array" ref="Y97">_xlfn.IFS(F97=1,0,F97=2,-1,F97=4,-2,F97=0.5,1,F97=0.25,2,F97=0,4)</f>
        <v>0</v>
      </c>
      <c r="Z97" s="24" cm="1">
        <f t="array" ref="Z97">_xlfn.IFS(G97=1,0,G97=2,-1,G97=4,-2,G97=0.5,1,G97=0.25,2,G97=0,4)</f>
        <v>-1</v>
      </c>
      <c r="AA97" s="24" cm="1">
        <f t="array" ref="AA97">_xlfn.IFS(H97=1,0,H97=2,-1,H97=4,-2,H97=0.5,1,H97=0.25,2,H97=0,4)</f>
        <v>-1</v>
      </c>
      <c r="AB97" s="24" cm="1">
        <f t="array" ref="AB97">_xlfn.IFS(I97=1,0,I97=2,-1,I97=4,-2,I97=0.5,1,I97=0.25,2,I97=0,4)</f>
        <v>2</v>
      </c>
      <c r="AC97" s="24" cm="1">
        <f t="array" ref="AC97">_xlfn.IFS(J97=1,0,J97=2,-1,J97=4,-2,J97=0.5,1,J97=0.25,2,J97=0,4)</f>
        <v>-1</v>
      </c>
      <c r="AD97" s="24" cm="1">
        <f t="array" ref="AD97">_xlfn.IFS(K97=1,0,K97=2,-1,K97=4,-2,K97=0.5,1,K97=0.25,2,K97=0,4)</f>
        <v>1</v>
      </c>
      <c r="AE97" s="24" cm="1">
        <f t="array" ref="AE97">_xlfn.IFS(L97=1,0,L97=2,-1,L97=4,-2,L97=0.5,1,L97=0.25,2,L97=0,4)</f>
        <v>4</v>
      </c>
      <c r="AF97" s="24" cm="1">
        <f t="array" ref="AF97">_xlfn.IFS(M97=1,0,M97=2,-1,M97=4,-2,M97=0.5,1,M97=0.25,2,M97=0,4)</f>
        <v>0</v>
      </c>
      <c r="AG97" s="24" cm="1">
        <f t="array" ref="AG97">_xlfn.IFS(N97=1,0,N97=2,-1,N97=4,-2,N97=0.5,1,N97=0.25,2,N97=0,4)</f>
        <v>2</v>
      </c>
      <c r="AH97" s="24" cm="1">
        <f t="array" ref="AH97">_xlfn.IFS(O97=1,0,O97=2,-1,O97=4,-2,O97=0.5,1,O97=0.25,2,O97=0,4)</f>
        <v>0</v>
      </c>
      <c r="AI97" s="24" cm="1">
        <f t="array" ref="AI97">_xlfn.IFS(P97=1,0,P97=2,-1,P97=4,-2,P97=0.5,1,P97=0.25,2,P97=0,4)</f>
        <v>1</v>
      </c>
      <c r="AJ97" s="24" cm="1">
        <f t="array" ref="AJ97">_xlfn.IFS(Q97=1,0,Q97=2,-1,Q97=4,-2,Q97=0.5,1,Q97=0.25,2,Q97=0,4)</f>
        <v>0</v>
      </c>
    </row>
    <row r="98" spans="1:36" x14ac:dyDescent="0.2">
      <c r="A98" s="22" t="s">
        <v>10</v>
      </c>
      <c r="B98" s="22" t="s">
        <v>12</v>
      </c>
      <c r="C98" s="24">
        <f>INDEX(Output!$B$3:$P$17,MATCH('Defensive Summary'!C$1,Output!$A$3:$A$17,0),MATCH('Defensive Summary'!$A98,Output!$B$2:$P$2,0))*INDEX(Output!$B$3:$P$17,MATCH('Defensive Summary'!C$1,Output!$A$3:$A$17,0),MATCH('Defensive Summary'!$B98,Output!$B$2:$P$2,0))</f>
        <v>4</v>
      </c>
      <c r="D98" s="24">
        <f>INDEX(Output!$B$3:$P$17,MATCH('Defensive Summary'!D$1,Output!$A$3:$A$17,0),MATCH('Defensive Summary'!$A98,Output!$B$2:$P$2,0))*INDEX(Output!$B$3:$P$17,MATCH('Defensive Summary'!D$1,Output!$A$3:$A$17,0),MATCH('Defensive Summary'!$B98,Output!$B$2:$P$2,0))</f>
        <v>2</v>
      </c>
      <c r="E98" s="24">
        <f>INDEX(Output!$B$3:$P$17,MATCH('Defensive Summary'!E$1,Output!$A$3:$A$17,0),MATCH('Defensive Summary'!$A98,Output!$B$2:$P$2,0))*INDEX(Output!$B$3:$P$17,MATCH('Defensive Summary'!E$1,Output!$A$3:$A$17,0),MATCH('Defensive Summary'!$B98,Output!$B$2:$P$2,0))</f>
        <v>1</v>
      </c>
      <c r="F98" s="24">
        <f>INDEX(Output!$B$3:$P$17,MATCH('Defensive Summary'!F$1,Output!$A$3:$A$17,0),MATCH('Defensive Summary'!$A98,Output!$B$2:$P$2,0))*INDEX(Output!$B$3:$P$17,MATCH('Defensive Summary'!F$1,Output!$A$3:$A$17,0),MATCH('Defensive Summary'!$B98,Output!$B$2:$P$2,0))</f>
        <v>1</v>
      </c>
      <c r="G98" s="24">
        <f>INDEX(Output!$B$3:$P$17,MATCH('Defensive Summary'!G$1,Output!$A$3:$A$17,0),MATCH('Defensive Summary'!$A98,Output!$B$2:$P$2,0))*INDEX(Output!$B$3:$P$17,MATCH('Defensive Summary'!G$1,Output!$A$3:$A$17,0),MATCH('Defensive Summary'!$B98,Output!$B$2:$P$2,0))</f>
        <v>1</v>
      </c>
      <c r="H98" s="24">
        <f>INDEX(Output!$B$3:$P$17,MATCH('Defensive Summary'!H$1,Output!$A$3:$A$17,0),MATCH('Defensive Summary'!$A98,Output!$B$2:$P$2,0))*INDEX(Output!$B$3:$P$17,MATCH('Defensive Summary'!H$1,Output!$A$3:$A$17,0),MATCH('Defensive Summary'!$B98,Output!$B$2:$P$2,0))</f>
        <v>4</v>
      </c>
      <c r="I98" s="24">
        <f>INDEX(Output!$B$3:$P$17,MATCH('Defensive Summary'!I$1,Output!$A$3:$A$17,0),MATCH('Defensive Summary'!$A98,Output!$B$2:$P$2,0))*INDEX(Output!$B$3:$P$17,MATCH('Defensive Summary'!I$1,Output!$A$3:$A$17,0),MATCH('Defensive Summary'!$B98,Output!$B$2:$P$2,0))</f>
        <v>1</v>
      </c>
      <c r="J98" s="24">
        <f>INDEX(Output!$B$3:$P$17,MATCH('Defensive Summary'!J$1,Output!$A$3:$A$17,0),MATCH('Defensive Summary'!$A98,Output!$B$2:$P$2,0))*INDEX(Output!$B$3:$P$17,MATCH('Defensive Summary'!J$1,Output!$A$3:$A$17,0),MATCH('Defensive Summary'!$B98,Output!$B$2:$P$2,0))</f>
        <v>1</v>
      </c>
      <c r="K98" s="24">
        <f>INDEX(Output!$B$3:$P$17,MATCH('Defensive Summary'!K$1,Output!$A$3:$A$17,0),MATCH('Defensive Summary'!$A98,Output!$B$2:$P$2,0))*INDEX(Output!$B$3:$P$17,MATCH('Defensive Summary'!K$1,Output!$A$3:$A$17,0),MATCH('Defensive Summary'!$B98,Output!$B$2:$P$2,0))</f>
        <v>0.5</v>
      </c>
      <c r="L98" s="24">
        <f>INDEX(Output!$B$3:$P$17,MATCH('Defensive Summary'!L$1,Output!$A$3:$A$17,0),MATCH('Defensive Summary'!$A98,Output!$B$2:$P$2,0))*INDEX(Output!$B$3:$P$17,MATCH('Defensive Summary'!L$1,Output!$A$3:$A$17,0),MATCH('Defensive Summary'!$B98,Output!$B$2:$P$2,0))</f>
        <v>0</v>
      </c>
      <c r="M98" s="24">
        <f>INDEX(Output!$B$3:$P$17,MATCH('Defensive Summary'!M$1,Output!$A$3:$A$17,0),MATCH('Defensive Summary'!$A98,Output!$B$2:$P$2,0))*INDEX(Output!$B$3:$P$17,MATCH('Defensive Summary'!M$1,Output!$A$3:$A$17,0),MATCH('Defensive Summary'!$B98,Output!$B$2:$P$2,0))</f>
        <v>1</v>
      </c>
      <c r="N98" s="24">
        <f>INDEX(Output!$B$3:$P$17,MATCH('Defensive Summary'!N$1,Output!$A$3:$A$17,0),MATCH('Defensive Summary'!$A98,Output!$B$2:$P$2,0))*INDEX(Output!$B$3:$P$17,MATCH('Defensive Summary'!N$1,Output!$A$3:$A$17,0),MATCH('Defensive Summary'!$B98,Output!$B$2:$P$2,0))</f>
        <v>0</v>
      </c>
      <c r="O98" s="24">
        <f>INDEX(Output!$B$3:$P$17,MATCH('Defensive Summary'!O$1,Output!$A$3:$A$17,0),MATCH('Defensive Summary'!$A98,Output!$B$2:$P$2,0))*INDEX(Output!$B$3:$P$17,MATCH('Defensive Summary'!O$1,Output!$A$3:$A$17,0),MATCH('Defensive Summary'!$B98,Output!$B$2:$P$2,0))</f>
        <v>0.25</v>
      </c>
      <c r="P98" s="24">
        <f>INDEX(Output!$B$3:$P$17,MATCH('Defensive Summary'!P$1,Output!$A$3:$A$17,0),MATCH('Defensive Summary'!$A98,Output!$B$2:$P$2,0))*INDEX(Output!$B$3:$P$17,MATCH('Defensive Summary'!P$1,Output!$A$3:$A$17,0),MATCH('Defensive Summary'!$B98,Output!$B$2:$P$2,0))</f>
        <v>0</v>
      </c>
      <c r="Q98" s="24">
        <f>INDEX(Output!$B$3:$P$17,MATCH('Defensive Summary'!Q$1,Output!$A$3:$A$17,0),MATCH('Defensive Summary'!$A98,Output!$B$2:$P$2,0))*INDEX(Output!$B$3:$P$17,MATCH('Defensive Summary'!Q$1,Output!$A$3:$A$17,0),MATCH('Defensive Summary'!$B98,Output!$B$2:$P$2,0))</f>
        <v>1</v>
      </c>
      <c r="R98" s="24"/>
      <c r="S98" s="25">
        <f t="shared" si="1"/>
        <v>10</v>
      </c>
      <c r="T98" s="22" t="s">
        <v>10</v>
      </c>
      <c r="U98" s="22" t="s">
        <v>12</v>
      </c>
      <c r="V98" s="24" cm="1">
        <f t="array" ref="V98">_xlfn.IFS(C98=1,0,C98=2,-1,C98=4,-2,C98=0.5,1,C98=0.25,2,C98=0,4)</f>
        <v>-2</v>
      </c>
      <c r="W98" s="24" cm="1">
        <f t="array" ref="W98">_xlfn.IFS(D98=1,0,D98=2,-1,D98=4,-2,D98=0.5,1,D98=0.25,2,D98=0,4)</f>
        <v>-1</v>
      </c>
      <c r="X98" s="24" cm="1">
        <f t="array" ref="X98">_xlfn.IFS(E98=1,0,E98=2,-1,E98=4,-2,E98=0.5,1,E98=0.25,2,E98=0,4)</f>
        <v>0</v>
      </c>
      <c r="Y98" s="24" cm="1">
        <f t="array" ref="Y98">_xlfn.IFS(F98=1,0,F98=2,-1,F98=4,-2,F98=0.5,1,F98=0.25,2,F98=0,4)</f>
        <v>0</v>
      </c>
      <c r="Z98" s="24" cm="1">
        <f t="array" ref="Z98">_xlfn.IFS(G98=1,0,G98=2,-1,G98=4,-2,G98=0.5,1,G98=0.25,2,G98=0,4)</f>
        <v>0</v>
      </c>
      <c r="AA98" s="24" cm="1">
        <f t="array" ref="AA98">_xlfn.IFS(H98=1,0,H98=2,-1,H98=4,-2,H98=0.5,1,H98=0.25,2,H98=0,4)</f>
        <v>-2</v>
      </c>
      <c r="AB98" s="24" cm="1">
        <f t="array" ref="AB98">_xlfn.IFS(I98=1,0,I98=2,-1,I98=4,-2,I98=0.5,1,I98=0.25,2,I98=0,4)</f>
        <v>0</v>
      </c>
      <c r="AC98" s="24" cm="1">
        <f t="array" ref="AC98">_xlfn.IFS(J98=1,0,J98=2,-1,J98=4,-2,J98=0.5,1,J98=0.25,2,J98=0,4)</f>
        <v>0</v>
      </c>
      <c r="AD98" s="24" cm="1">
        <f t="array" ref="AD98">_xlfn.IFS(K98=1,0,K98=2,-1,K98=4,-2,K98=0.5,1,K98=0.25,2,K98=0,4)</f>
        <v>1</v>
      </c>
      <c r="AE98" s="24" cm="1">
        <f t="array" ref="AE98">_xlfn.IFS(L98=1,0,L98=2,-1,L98=4,-2,L98=0.5,1,L98=0.25,2,L98=0,4)</f>
        <v>4</v>
      </c>
      <c r="AF98" s="24" cm="1">
        <f t="array" ref="AF98">_xlfn.IFS(M98=1,0,M98=2,-1,M98=4,-2,M98=0.5,1,M98=0.25,2,M98=0,4)</f>
        <v>0</v>
      </c>
      <c r="AG98" s="24" cm="1">
        <f t="array" ref="AG98">_xlfn.IFS(N98=1,0,N98=2,-1,N98=4,-2,N98=0.5,1,N98=0.25,2,N98=0,4)</f>
        <v>4</v>
      </c>
      <c r="AH98" s="24" cm="1">
        <f t="array" ref="AH98">_xlfn.IFS(O98=1,0,O98=2,-1,O98=4,-2,O98=0.5,1,O98=0.25,2,O98=0,4)</f>
        <v>2</v>
      </c>
      <c r="AI98" s="24" cm="1">
        <f t="array" ref="AI98">_xlfn.IFS(P98=1,0,P98=2,-1,P98=4,-2,P98=0.5,1,P98=0.25,2,P98=0,4)</f>
        <v>4</v>
      </c>
      <c r="AJ98" s="24" cm="1">
        <f t="array" ref="AJ98">_xlfn.IFS(Q98=1,0,Q98=2,-1,Q98=4,-2,Q98=0.5,1,Q98=0.25,2,Q98=0,4)</f>
        <v>0</v>
      </c>
    </row>
    <row r="99" spans="1:36" x14ac:dyDescent="0.2">
      <c r="A99" s="22" t="s">
        <v>10</v>
      </c>
      <c r="B99" s="22" t="s">
        <v>13</v>
      </c>
      <c r="C99" s="24">
        <f>INDEX(Output!$B$3:$P$17,MATCH('Defensive Summary'!C$1,Output!$A$3:$A$17,0),MATCH('Defensive Summary'!$A99,Output!$B$2:$P$2,0))*INDEX(Output!$B$3:$P$17,MATCH('Defensive Summary'!C$1,Output!$A$3:$A$17,0),MATCH('Defensive Summary'!$B99,Output!$B$2:$P$2,0))</f>
        <v>2</v>
      </c>
      <c r="D99" s="24">
        <f>INDEX(Output!$B$3:$P$17,MATCH('Defensive Summary'!D$1,Output!$A$3:$A$17,0),MATCH('Defensive Summary'!$A99,Output!$B$2:$P$2,0))*INDEX(Output!$B$3:$P$17,MATCH('Defensive Summary'!D$1,Output!$A$3:$A$17,0),MATCH('Defensive Summary'!$B99,Output!$B$2:$P$2,0))</f>
        <v>0.5</v>
      </c>
      <c r="E99" s="24">
        <f>INDEX(Output!$B$3:$P$17,MATCH('Defensive Summary'!E$1,Output!$A$3:$A$17,0),MATCH('Defensive Summary'!$A99,Output!$B$2:$P$2,0))*INDEX(Output!$B$3:$P$17,MATCH('Defensive Summary'!E$1,Output!$A$3:$A$17,0),MATCH('Defensive Summary'!$B99,Output!$B$2:$P$2,0))</f>
        <v>0.5</v>
      </c>
      <c r="F99" s="24">
        <f>INDEX(Output!$B$3:$P$17,MATCH('Defensive Summary'!F$1,Output!$A$3:$A$17,0),MATCH('Defensive Summary'!$A99,Output!$B$2:$P$2,0))*INDEX(Output!$B$3:$P$17,MATCH('Defensive Summary'!F$1,Output!$A$3:$A$17,0),MATCH('Defensive Summary'!$B99,Output!$B$2:$P$2,0))</f>
        <v>1</v>
      </c>
      <c r="G99" s="24">
        <f>INDEX(Output!$B$3:$P$17,MATCH('Defensive Summary'!G$1,Output!$A$3:$A$17,0),MATCH('Defensive Summary'!$A99,Output!$B$2:$P$2,0))*INDEX(Output!$B$3:$P$17,MATCH('Defensive Summary'!G$1,Output!$A$3:$A$17,0),MATCH('Defensive Summary'!$B99,Output!$B$2:$P$2,0))</f>
        <v>2</v>
      </c>
      <c r="H99" s="24">
        <f>INDEX(Output!$B$3:$P$17,MATCH('Defensive Summary'!H$1,Output!$A$3:$A$17,0),MATCH('Defensive Summary'!$A99,Output!$B$2:$P$2,0))*INDEX(Output!$B$3:$P$17,MATCH('Defensive Summary'!H$1,Output!$A$3:$A$17,0),MATCH('Defensive Summary'!$B99,Output!$B$2:$P$2,0))</f>
        <v>1</v>
      </c>
      <c r="I99" s="24">
        <f>INDEX(Output!$B$3:$P$17,MATCH('Defensive Summary'!I$1,Output!$A$3:$A$17,0),MATCH('Defensive Summary'!$A99,Output!$B$2:$P$2,0))*INDEX(Output!$B$3:$P$17,MATCH('Defensive Summary'!I$1,Output!$A$3:$A$17,0),MATCH('Defensive Summary'!$B99,Output!$B$2:$P$2,0))</f>
        <v>0.25</v>
      </c>
      <c r="J99" s="24">
        <f>INDEX(Output!$B$3:$P$17,MATCH('Defensive Summary'!J$1,Output!$A$3:$A$17,0),MATCH('Defensive Summary'!$A99,Output!$B$2:$P$2,0))*INDEX(Output!$B$3:$P$17,MATCH('Defensive Summary'!J$1,Output!$A$3:$A$17,0),MATCH('Defensive Summary'!$B99,Output!$B$2:$P$2,0))</f>
        <v>2</v>
      </c>
      <c r="K99" s="24">
        <f>INDEX(Output!$B$3:$P$17,MATCH('Defensive Summary'!K$1,Output!$A$3:$A$17,0),MATCH('Defensive Summary'!$A99,Output!$B$2:$P$2,0))*INDEX(Output!$B$3:$P$17,MATCH('Defensive Summary'!K$1,Output!$A$3:$A$17,0),MATCH('Defensive Summary'!$B99,Output!$B$2:$P$2,0))</f>
        <v>1</v>
      </c>
      <c r="L99" s="24">
        <f>INDEX(Output!$B$3:$P$17,MATCH('Defensive Summary'!L$1,Output!$A$3:$A$17,0),MATCH('Defensive Summary'!$A99,Output!$B$2:$P$2,0))*INDEX(Output!$B$3:$P$17,MATCH('Defensive Summary'!L$1,Output!$A$3:$A$17,0),MATCH('Defensive Summary'!$B99,Output!$B$2:$P$2,0))</f>
        <v>0</v>
      </c>
      <c r="M99" s="24">
        <f>INDEX(Output!$B$3:$P$17,MATCH('Defensive Summary'!M$1,Output!$A$3:$A$17,0),MATCH('Defensive Summary'!$A99,Output!$B$2:$P$2,0))*INDEX(Output!$B$3:$P$17,MATCH('Defensive Summary'!M$1,Output!$A$3:$A$17,0),MATCH('Defensive Summary'!$B99,Output!$B$2:$P$2,0))</f>
        <v>0.5</v>
      </c>
      <c r="N99" s="24">
        <f>INDEX(Output!$B$3:$P$17,MATCH('Defensive Summary'!N$1,Output!$A$3:$A$17,0),MATCH('Defensive Summary'!$A99,Output!$B$2:$P$2,0))*INDEX(Output!$B$3:$P$17,MATCH('Defensive Summary'!N$1,Output!$A$3:$A$17,0),MATCH('Defensive Summary'!$B99,Output!$B$2:$P$2,0))</f>
        <v>0.25</v>
      </c>
      <c r="O99" s="24">
        <f>INDEX(Output!$B$3:$P$17,MATCH('Defensive Summary'!O$1,Output!$A$3:$A$17,0),MATCH('Defensive Summary'!$A99,Output!$B$2:$P$2,0))*INDEX(Output!$B$3:$P$17,MATCH('Defensive Summary'!O$1,Output!$A$3:$A$17,0),MATCH('Defensive Summary'!$B99,Output!$B$2:$P$2,0))</f>
        <v>1</v>
      </c>
      <c r="P99" s="24">
        <f>INDEX(Output!$B$3:$P$17,MATCH('Defensive Summary'!P$1,Output!$A$3:$A$17,0),MATCH('Defensive Summary'!$A99,Output!$B$2:$P$2,0))*INDEX(Output!$B$3:$P$17,MATCH('Defensive Summary'!P$1,Output!$A$3:$A$17,0),MATCH('Defensive Summary'!$B99,Output!$B$2:$P$2,0))</f>
        <v>0.5</v>
      </c>
      <c r="Q99" s="24">
        <f>INDEX(Output!$B$3:$P$17,MATCH('Defensive Summary'!Q$1,Output!$A$3:$A$17,0),MATCH('Defensive Summary'!$A99,Output!$B$2:$P$2,0))*INDEX(Output!$B$3:$P$17,MATCH('Defensive Summary'!Q$1,Output!$A$3:$A$17,0),MATCH('Defensive Summary'!$B99,Output!$B$2:$P$2,0))</f>
        <v>1</v>
      </c>
      <c r="R99" s="24"/>
      <c r="S99" s="25">
        <f t="shared" si="1"/>
        <v>9</v>
      </c>
      <c r="T99" s="22" t="s">
        <v>10</v>
      </c>
      <c r="U99" s="22" t="s">
        <v>13</v>
      </c>
      <c r="V99" s="24" cm="1">
        <f t="array" ref="V99">_xlfn.IFS(C99=1,0,C99=2,-1,C99=4,-2,C99=0.5,1,C99=0.25,2,C99=0,4)</f>
        <v>-1</v>
      </c>
      <c r="W99" s="24" cm="1">
        <f t="array" ref="W99">_xlfn.IFS(D99=1,0,D99=2,-1,D99=4,-2,D99=0.5,1,D99=0.25,2,D99=0,4)</f>
        <v>1</v>
      </c>
      <c r="X99" s="24" cm="1">
        <f t="array" ref="X99">_xlfn.IFS(E99=1,0,E99=2,-1,E99=4,-2,E99=0.5,1,E99=0.25,2,E99=0,4)</f>
        <v>1</v>
      </c>
      <c r="Y99" s="24" cm="1">
        <f t="array" ref="Y99">_xlfn.IFS(F99=1,0,F99=2,-1,F99=4,-2,F99=0.5,1,F99=0.25,2,F99=0,4)</f>
        <v>0</v>
      </c>
      <c r="Z99" s="24" cm="1">
        <f t="array" ref="Z99">_xlfn.IFS(G99=1,0,G99=2,-1,G99=4,-2,G99=0.5,1,G99=0.25,2,G99=0,4)</f>
        <v>-1</v>
      </c>
      <c r="AA99" s="24" cm="1">
        <f t="array" ref="AA99">_xlfn.IFS(H99=1,0,H99=2,-1,H99=4,-2,H99=0.5,1,H99=0.25,2,H99=0,4)</f>
        <v>0</v>
      </c>
      <c r="AB99" s="24" cm="1">
        <f t="array" ref="AB99">_xlfn.IFS(I99=1,0,I99=2,-1,I99=4,-2,I99=0.5,1,I99=0.25,2,I99=0,4)</f>
        <v>2</v>
      </c>
      <c r="AC99" s="24" cm="1">
        <f t="array" ref="AC99">_xlfn.IFS(J99=1,0,J99=2,-1,J99=4,-2,J99=0.5,1,J99=0.25,2,J99=0,4)</f>
        <v>-1</v>
      </c>
      <c r="AD99" s="24" cm="1">
        <f t="array" ref="AD99">_xlfn.IFS(K99=1,0,K99=2,-1,K99=4,-2,K99=0.5,1,K99=0.25,2,K99=0,4)</f>
        <v>0</v>
      </c>
      <c r="AE99" s="24" cm="1">
        <f t="array" ref="AE99">_xlfn.IFS(L99=1,0,L99=2,-1,L99=4,-2,L99=0.5,1,L99=0.25,2,L99=0,4)</f>
        <v>4</v>
      </c>
      <c r="AF99" s="24" cm="1">
        <f t="array" ref="AF99">_xlfn.IFS(M99=1,0,M99=2,-1,M99=4,-2,M99=0.5,1,M99=0.25,2,M99=0,4)</f>
        <v>1</v>
      </c>
      <c r="AG99" s="24" cm="1">
        <f t="array" ref="AG99">_xlfn.IFS(N99=1,0,N99=2,-1,N99=4,-2,N99=0.5,1,N99=0.25,2,N99=0,4)</f>
        <v>2</v>
      </c>
      <c r="AH99" s="24" cm="1">
        <f t="array" ref="AH99">_xlfn.IFS(O99=1,0,O99=2,-1,O99=4,-2,O99=0.5,1,O99=0.25,2,O99=0,4)</f>
        <v>0</v>
      </c>
      <c r="AI99" s="24" cm="1">
        <f t="array" ref="AI99">_xlfn.IFS(P99=1,0,P99=2,-1,P99=4,-2,P99=0.5,1,P99=0.25,2,P99=0,4)</f>
        <v>1</v>
      </c>
      <c r="AJ99" s="24" cm="1">
        <f t="array" ref="AJ99">_xlfn.IFS(Q99=1,0,Q99=2,-1,Q99=4,-2,Q99=0.5,1,Q99=0.25,2,Q99=0,4)</f>
        <v>0</v>
      </c>
    </row>
    <row r="100" spans="1:36" x14ac:dyDescent="0.2">
      <c r="A100" s="22" t="s">
        <v>10</v>
      </c>
      <c r="B100" s="22" t="s">
        <v>14</v>
      </c>
      <c r="C100" s="24">
        <f>INDEX(Output!$B$3:$P$17,MATCH('Defensive Summary'!C$1,Output!$A$3:$A$17,0),MATCH('Defensive Summary'!$A100,Output!$B$2:$P$2,0))*INDEX(Output!$B$3:$P$17,MATCH('Defensive Summary'!C$1,Output!$A$3:$A$17,0),MATCH('Defensive Summary'!$B100,Output!$B$2:$P$2,0))</f>
        <v>2</v>
      </c>
      <c r="D100" s="24">
        <f>INDEX(Output!$B$3:$P$17,MATCH('Defensive Summary'!D$1,Output!$A$3:$A$17,0),MATCH('Defensive Summary'!$A100,Output!$B$2:$P$2,0))*INDEX(Output!$B$3:$P$17,MATCH('Defensive Summary'!D$1,Output!$A$3:$A$17,0),MATCH('Defensive Summary'!$B100,Output!$B$2:$P$2,0))</f>
        <v>1</v>
      </c>
      <c r="E100" s="24">
        <f>INDEX(Output!$B$3:$P$17,MATCH('Defensive Summary'!E$1,Output!$A$3:$A$17,0),MATCH('Defensive Summary'!$A100,Output!$B$2:$P$2,0))*INDEX(Output!$B$3:$P$17,MATCH('Defensive Summary'!E$1,Output!$A$3:$A$17,0),MATCH('Defensive Summary'!$B100,Output!$B$2:$P$2,0))</f>
        <v>0.5</v>
      </c>
      <c r="F100" s="24">
        <f>INDEX(Output!$B$3:$P$17,MATCH('Defensive Summary'!F$1,Output!$A$3:$A$17,0),MATCH('Defensive Summary'!$A100,Output!$B$2:$P$2,0))*INDEX(Output!$B$3:$P$17,MATCH('Defensive Summary'!F$1,Output!$A$3:$A$17,0),MATCH('Defensive Summary'!$B100,Output!$B$2:$P$2,0))</f>
        <v>1</v>
      </c>
      <c r="G100" s="24">
        <f>INDEX(Output!$B$3:$P$17,MATCH('Defensive Summary'!G$1,Output!$A$3:$A$17,0),MATCH('Defensive Summary'!$A100,Output!$B$2:$P$2,0))*INDEX(Output!$B$3:$P$17,MATCH('Defensive Summary'!G$1,Output!$A$3:$A$17,0),MATCH('Defensive Summary'!$B100,Output!$B$2:$P$2,0))</f>
        <v>2</v>
      </c>
      <c r="H100" s="24">
        <f>INDEX(Output!$B$3:$P$17,MATCH('Defensive Summary'!H$1,Output!$A$3:$A$17,0),MATCH('Defensive Summary'!$A100,Output!$B$2:$P$2,0))*INDEX(Output!$B$3:$P$17,MATCH('Defensive Summary'!H$1,Output!$A$3:$A$17,0),MATCH('Defensive Summary'!$B100,Output!$B$2:$P$2,0))</f>
        <v>2</v>
      </c>
      <c r="I100" s="24">
        <f>INDEX(Output!$B$3:$P$17,MATCH('Defensive Summary'!I$1,Output!$A$3:$A$17,0),MATCH('Defensive Summary'!$A100,Output!$B$2:$P$2,0))*INDEX(Output!$B$3:$P$17,MATCH('Defensive Summary'!I$1,Output!$A$3:$A$17,0),MATCH('Defensive Summary'!$B100,Output!$B$2:$P$2,0))</f>
        <v>0.5</v>
      </c>
      <c r="J100" s="24">
        <f>INDEX(Output!$B$3:$P$17,MATCH('Defensive Summary'!J$1,Output!$A$3:$A$17,0),MATCH('Defensive Summary'!$A100,Output!$B$2:$P$2,0))*INDEX(Output!$B$3:$P$17,MATCH('Defensive Summary'!J$1,Output!$A$3:$A$17,0),MATCH('Defensive Summary'!$B100,Output!$B$2:$P$2,0))</f>
        <v>2</v>
      </c>
      <c r="K100" s="24">
        <f>INDEX(Output!$B$3:$P$17,MATCH('Defensive Summary'!K$1,Output!$A$3:$A$17,0),MATCH('Defensive Summary'!$A100,Output!$B$2:$P$2,0))*INDEX(Output!$B$3:$P$17,MATCH('Defensive Summary'!K$1,Output!$A$3:$A$17,0),MATCH('Defensive Summary'!$B100,Output!$B$2:$P$2,0))</f>
        <v>0.5</v>
      </c>
      <c r="L100" s="24">
        <f>INDEX(Output!$B$3:$P$17,MATCH('Defensive Summary'!L$1,Output!$A$3:$A$17,0),MATCH('Defensive Summary'!$A100,Output!$B$2:$P$2,0))*INDEX(Output!$B$3:$P$17,MATCH('Defensive Summary'!L$1,Output!$A$3:$A$17,0),MATCH('Defensive Summary'!$B100,Output!$B$2:$P$2,0))</f>
        <v>0</v>
      </c>
      <c r="M100" s="24">
        <f>INDEX(Output!$B$3:$P$17,MATCH('Defensive Summary'!M$1,Output!$A$3:$A$17,0),MATCH('Defensive Summary'!$A100,Output!$B$2:$P$2,0))*INDEX(Output!$B$3:$P$17,MATCH('Defensive Summary'!M$1,Output!$A$3:$A$17,0),MATCH('Defensive Summary'!$B100,Output!$B$2:$P$2,0))</f>
        <v>1</v>
      </c>
      <c r="N100" s="24">
        <f>INDEX(Output!$B$3:$P$17,MATCH('Defensive Summary'!N$1,Output!$A$3:$A$17,0),MATCH('Defensive Summary'!$A100,Output!$B$2:$P$2,0))*INDEX(Output!$B$3:$P$17,MATCH('Defensive Summary'!N$1,Output!$A$3:$A$17,0),MATCH('Defensive Summary'!$B100,Output!$B$2:$P$2,0))</f>
        <v>0.5</v>
      </c>
      <c r="O100" s="24">
        <f>INDEX(Output!$B$3:$P$17,MATCH('Defensive Summary'!O$1,Output!$A$3:$A$17,0),MATCH('Defensive Summary'!$A100,Output!$B$2:$P$2,0))*INDEX(Output!$B$3:$P$17,MATCH('Defensive Summary'!O$1,Output!$A$3:$A$17,0),MATCH('Defensive Summary'!$B100,Output!$B$2:$P$2,0))</f>
        <v>0.5</v>
      </c>
      <c r="P100" s="24">
        <f>INDEX(Output!$B$3:$P$17,MATCH('Defensive Summary'!P$1,Output!$A$3:$A$17,0),MATCH('Defensive Summary'!$A100,Output!$B$2:$P$2,0))*INDEX(Output!$B$3:$P$17,MATCH('Defensive Summary'!P$1,Output!$A$3:$A$17,0),MATCH('Defensive Summary'!$B100,Output!$B$2:$P$2,0))</f>
        <v>1</v>
      </c>
      <c r="Q100" s="24">
        <f>INDEX(Output!$B$3:$P$17,MATCH('Defensive Summary'!Q$1,Output!$A$3:$A$17,0),MATCH('Defensive Summary'!$A100,Output!$B$2:$P$2,0))*INDEX(Output!$B$3:$P$17,MATCH('Defensive Summary'!Q$1,Output!$A$3:$A$17,0),MATCH('Defensive Summary'!$B100,Output!$B$2:$P$2,0))</f>
        <v>1</v>
      </c>
      <c r="R100" s="24"/>
      <c r="S100" s="25">
        <f t="shared" si="1"/>
        <v>5</v>
      </c>
      <c r="T100" s="22" t="s">
        <v>10</v>
      </c>
      <c r="U100" s="22" t="s">
        <v>14</v>
      </c>
      <c r="V100" s="24" cm="1">
        <f t="array" ref="V100">_xlfn.IFS(C100=1,0,C100=2,-1,C100=4,-2,C100=0.5,1,C100=0.25,2,C100=0,4)</f>
        <v>-1</v>
      </c>
      <c r="W100" s="24" cm="1">
        <f t="array" ref="W100">_xlfn.IFS(D100=1,0,D100=2,-1,D100=4,-2,D100=0.5,1,D100=0.25,2,D100=0,4)</f>
        <v>0</v>
      </c>
      <c r="X100" s="24" cm="1">
        <f t="array" ref="X100">_xlfn.IFS(E100=1,0,E100=2,-1,E100=4,-2,E100=0.5,1,E100=0.25,2,E100=0,4)</f>
        <v>1</v>
      </c>
      <c r="Y100" s="24" cm="1">
        <f t="array" ref="Y100">_xlfn.IFS(F100=1,0,F100=2,-1,F100=4,-2,F100=0.5,1,F100=0.25,2,F100=0,4)</f>
        <v>0</v>
      </c>
      <c r="Z100" s="24" cm="1">
        <f t="array" ref="Z100">_xlfn.IFS(G100=1,0,G100=2,-1,G100=4,-2,G100=0.5,1,G100=0.25,2,G100=0,4)</f>
        <v>-1</v>
      </c>
      <c r="AA100" s="24" cm="1">
        <f t="array" ref="AA100">_xlfn.IFS(H100=1,0,H100=2,-1,H100=4,-2,H100=0.5,1,H100=0.25,2,H100=0,4)</f>
        <v>-1</v>
      </c>
      <c r="AB100" s="24" cm="1">
        <f t="array" ref="AB100">_xlfn.IFS(I100=1,0,I100=2,-1,I100=4,-2,I100=0.5,1,I100=0.25,2,I100=0,4)</f>
        <v>1</v>
      </c>
      <c r="AC100" s="24" cm="1">
        <f t="array" ref="AC100">_xlfn.IFS(J100=1,0,J100=2,-1,J100=4,-2,J100=0.5,1,J100=0.25,2,J100=0,4)</f>
        <v>-1</v>
      </c>
      <c r="AD100" s="24" cm="1">
        <f t="array" ref="AD100">_xlfn.IFS(K100=1,0,K100=2,-1,K100=4,-2,K100=0.5,1,K100=0.25,2,K100=0,4)</f>
        <v>1</v>
      </c>
      <c r="AE100" s="24" cm="1">
        <f t="array" ref="AE100">_xlfn.IFS(L100=1,0,L100=2,-1,L100=4,-2,L100=0.5,1,L100=0.25,2,L100=0,4)</f>
        <v>4</v>
      </c>
      <c r="AF100" s="24" cm="1">
        <f t="array" ref="AF100">_xlfn.IFS(M100=1,0,M100=2,-1,M100=4,-2,M100=0.5,1,M100=0.25,2,M100=0,4)</f>
        <v>0</v>
      </c>
      <c r="AG100" s="24" cm="1">
        <f t="array" ref="AG100">_xlfn.IFS(N100=1,0,N100=2,-1,N100=4,-2,N100=0.5,1,N100=0.25,2,N100=0,4)</f>
        <v>1</v>
      </c>
      <c r="AH100" s="24" cm="1">
        <f t="array" ref="AH100">_xlfn.IFS(O100=1,0,O100=2,-1,O100=4,-2,O100=0.5,1,O100=0.25,2,O100=0,4)</f>
        <v>1</v>
      </c>
      <c r="AI100" s="24" cm="1">
        <f t="array" ref="AI100">_xlfn.IFS(P100=1,0,P100=2,-1,P100=4,-2,P100=0.5,1,P100=0.25,2,P100=0,4)</f>
        <v>0</v>
      </c>
      <c r="AJ100" s="24" cm="1">
        <f t="array" ref="AJ100">_xlfn.IFS(Q100=1,0,Q100=2,-1,Q100=4,-2,Q100=0.5,1,Q100=0.25,2,Q100=0,4)</f>
        <v>0</v>
      </c>
    </row>
    <row r="101" spans="1:36" x14ac:dyDescent="0.2">
      <c r="A101" s="22" t="s">
        <v>11</v>
      </c>
      <c r="B101" s="22" t="s">
        <v>12</v>
      </c>
      <c r="C101" s="24">
        <f>INDEX(Output!$B$3:$P$17,MATCH('Defensive Summary'!C$1,Output!$A$3:$A$17,0),MATCH('Defensive Summary'!$A101,Output!$B$2:$P$2,0))*INDEX(Output!$B$3:$P$17,MATCH('Defensive Summary'!C$1,Output!$A$3:$A$17,0),MATCH('Defensive Summary'!$B101,Output!$B$2:$P$2,0))</f>
        <v>2</v>
      </c>
      <c r="D101" s="24">
        <f>INDEX(Output!$B$3:$P$17,MATCH('Defensive Summary'!D$1,Output!$A$3:$A$17,0),MATCH('Defensive Summary'!$A101,Output!$B$2:$P$2,0))*INDEX(Output!$B$3:$P$17,MATCH('Defensive Summary'!D$1,Output!$A$3:$A$17,0),MATCH('Defensive Summary'!$B101,Output!$B$2:$P$2,0))</f>
        <v>2</v>
      </c>
      <c r="E101" s="24">
        <f>INDEX(Output!$B$3:$P$17,MATCH('Defensive Summary'!E$1,Output!$A$3:$A$17,0),MATCH('Defensive Summary'!$A101,Output!$B$2:$P$2,0))*INDEX(Output!$B$3:$P$17,MATCH('Defensive Summary'!E$1,Output!$A$3:$A$17,0),MATCH('Defensive Summary'!$B101,Output!$B$2:$P$2,0))</f>
        <v>2</v>
      </c>
      <c r="F101" s="24">
        <f>INDEX(Output!$B$3:$P$17,MATCH('Defensive Summary'!F$1,Output!$A$3:$A$17,0),MATCH('Defensive Summary'!$A101,Output!$B$2:$P$2,0))*INDEX(Output!$B$3:$P$17,MATCH('Defensive Summary'!F$1,Output!$A$3:$A$17,0),MATCH('Defensive Summary'!$B101,Output!$B$2:$P$2,0))</f>
        <v>1</v>
      </c>
      <c r="G101" s="24">
        <f>INDEX(Output!$B$3:$P$17,MATCH('Defensive Summary'!G$1,Output!$A$3:$A$17,0),MATCH('Defensive Summary'!$A101,Output!$B$2:$P$2,0))*INDEX(Output!$B$3:$P$17,MATCH('Defensive Summary'!G$1,Output!$A$3:$A$17,0),MATCH('Defensive Summary'!$B101,Output!$B$2:$P$2,0))</f>
        <v>0.5</v>
      </c>
      <c r="H101" s="24">
        <f>INDEX(Output!$B$3:$P$17,MATCH('Defensive Summary'!H$1,Output!$A$3:$A$17,0),MATCH('Defensive Summary'!$A101,Output!$B$2:$P$2,0))*INDEX(Output!$B$3:$P$17,MATCH('Defensive Summary'!H$1,Output!$A$3:$A$17,0),MATCH('Defensive Summary'!$B101,Output!$B$2:$P$2,0))</f>
        <v>2</v>
      </c>
      <c r="I101" s="24">
        <f>INDEX(Output!$B$3:$P$17,MATCH('Defensive Summary'!I$1,Output!$A$3:$A$17,0),MATCH('Defensive Summary'!$A101,Output!$B$2:$P$2,0))*INDEX(Output!$B$3:$P$17,MATCH('Defensive Summary'!I$1,Output!$A$3:$A$17,0),MATCH('Defensive Summary'!$B101,Output!$B$2:$P$2,0))</f>
        <v>1</v>
      </c>
      <c r="J101" s="24">
        <f>INDEX(Output!$B$3:$P$17,MATCH('Defensive Summary'!J$1,Output!$A$3:$A$17,0),MATCH('Defensive Summary'!$A101,Output!$B$2:$P$2,0))*INDEX(Output!$B$3:$P$17,MATCH('Defensive Summary'!J$1,Output!$A$3:$A$17,0),MATCH('Defensive Summary'!$B101,Output!$B$2:$P$2,0))</f>
        <v>0.5</v>
      </c>
      <c r="K101" s="24">
        <f>INDEX(Output!$B$3:$P$17,MATCH('Defensive Summary'!K$1,Output!$A$3:$A$17,0),MATCH('Defensive Summary'!$A101,Output!$B$2:$P$2,0))*INDEX(Output!$B$3:$P$17,MATCH('Defensive Summary'!K$1,Output!$A$3:$A$17,0),MATCH('Defensive Summary'!$B101,Output!$B$2:$P$2,0))</f>
        <v>1</v>
      </c>
      <c r="L101" s="24">
        <f>INDEX(Output!$B$3:$P$17,MATCH('Defensive Summary'!L$1,Output!$A$3:$A$17,0),MATCH('Defensive Summary'!$A101,Output!$B$2:$P$2,0))*INDEX(Output!$B$3:$P$17,MATCH('Defensive Summary'!L$1,Output!$A$3:$A$17,0),MATCH('Defensive Summary'!$B101,Output!$B$2:$P$2,0))</f>
        <v>2</v>
      </c>
      <c r="M101" s="24">
        <f>INDEX(Output!$B$3:$P$17,MATCH('Defensive Summary'!M$1,Output!$A$3:$A$17,0),MATCH('Defensive Summary'!$A101,Output!$B$2:$P$2,0))*INDEX(Output!$B$3:$P$17,MATCH('Defensive Summary'!M$1,Output!$A$3:$A$17,0),MATCH('Defensive Summary'!$B101,Output!$B$2:$P$2,0))</f>
        <v>1</v>
      </c>
      <c r="N101" s="24">
        <f>INDEX(Output!$B$3:$P$17,MATCH('Defensive Summary'!N$1,Output!$A$3:$A$17,0),MATCH('Defensive Summary'!$A101,Output!$B$2:$P$2,0))*INDEX(Output!$B$3:$P$17,MATCH('Defensive Summary'!N$1,Output!$A$3:$A$17,0),MATCH('Defensive Summary'!$B101,Output!$B$2:$P$2,0))</f>
        <v>0</v>
      </c>
      <c r="O101" s="24">
        <f>INDEX(Output!$B$3:$P$17,MATCH('Defensive Summary'!O$1,Output!$A$3:$A$17,0),MATCH('Defensive Summary'!$A101,Output!$B$2:$P$2,0))*INDEX(Output!$B$3:$P$17,MATCH('Defensive Summary'!O$1,Output!$A$3:$A$17,0),MATCH('Defensive Summary'!$B101,Output!$B$2:$P$2,0))</f>
        <v>1</v>
      </c>
      <c r="P101" s="24">
        <f>INDEX(Output!$B$3:$P$17,MATCH('Defensive Summary'!P$1,Output!$A$3:$A$17,0),MATCH('Defensive Summary'!$A101,Output!$B$2:$P$2,0))*INDEX(Output!$B$3:$P$17,MATCH('Defensive Summary'!P$1,Output!$A$3:$A$17,0),MATCH('Defensive Summary'!$B101,Output!$B$2:$P$2,0))</f>
        <v>0</v>
      </c>
      <c r="Q101" s="24">
        <f>INDEX(Output!$B$3:$P$17,MATCH('Defensive Summary'!Q$1,Output!$A$3:$A$17,0),MATCH('Defensive Summary'!$A101,Output!$B$2:$P$2,0))*INDEX(Output!$B$3:$P$17,MATCH('Defensive Summary'!Q$1,Output!$A$3:$A$17,0),MATCH('Defensive Summary'!$B101,Output!$B$2:$P$2,0))</f>
        <v>1</v>
      </c>
      <c r="R101" s="24"/>
      <c r="S101" s="25">
        <f t="shared" si="1"/>
        <v>5</v>
      </c>
      <c r="T101" s="22" t="s">
        <v>11</v>
      </c>
      <c r="U101" s="22" t="s">
        <v>12</v>
      </c>
      <c r="V101" s="24" cm="1">
        <f t="array" ref="V101">_xlfn.IFS(C101=1,0,C101=2,-1,C101=4,-2,C101=0.5,1,C101=0.25,2,C101=0,4)</f>
        <v>-1</v>
      </c>
      <c r="W101" s="24" cm="1">
        <f t="array" ref="W101">_xlfn.IFS(D101=1,0,D101=2,-1,D101=4,-2,D101=0.5,1,D101=0.25,2,D101=0,4)</f>
        <v>-1</v>
      </c>
      <c r="X101" s="24" cm="1">
        <f t="array" ref="X101">_xlfn.IFS(E101=1,0,E101=2,-1,E101=4,-2,E101=0.5,1,E101=0.25,2,E101=0,4)</f>
        <v>-1</v>
      </c>
      <c r="Y101" s="24" cm="1">
        <f t="array" ref="Y101">_xlfn.IFS(F101=1,0,F101=2,-1,F101=4,-2,F101=0.5,1,F101=0.25,2,F101=0,4)</f>
        <v>0</v>
      </c>
      <c r="Z101" s="24" cm="1">
        <f t="array" ref="Z101">_xlfn.IFS(G101=1,0,G101=2,-1,G101=4,-2,G101=0.5,1,G101=0.25,2,G101=0,4)</f>
        <v>1</v>
      </c>
      <c r="AA101" s="24" cm="1">
        <f t="array" ref="AA101">_xlfn.IFS(H101=1,0,H101=2,-1,H101=4,-2,H101=0.5,1,H101=0.25,2,H101=0,4)</f>
        <v>-1</v>
      </c>
      <c r="AB101" s="24" cm="1">
        <f t="array" ref="AB101">_xlfn.IFS(I101=1,0,I101=2,-1,I101=4,-2,I101=0.5,1,I101=0.25,2,I101=0,4)</f>
        <v>0</v>
      </c>
      <c r="AC101" s="24" cm="1">
        <f t="array" ref="AC101">_xlfn.IFS(J101=1,0,J101=2,-1,J101=4,-2,J101=0.5,1,J101=0.25,2,J101=0,4)</f>
        <v>1</v>
      </c>
      <c r="AD101" s="24" cm="1">
        <f t="array" ref="AD101">_xlfn.IFS(K101=1,0,K101=2,-1,K101=4,-2,K101=0.5,1,K101=0.25,2,K101=0,4)</f>
        <v>0</v>
      </c>
      <c r="AE101" s="24" cm="1">
        <f t="array" ref="AE101">_xlfn.IFS(L101=1,0,L101=2,-1,L101=4,-2,L101=0.5,1,L101=0.25,2,L101=0,4)</f>
        <v>-1</v>
      </c>
      <c r="AF101" s="24" cm="1">
        <f t="array" ref="AF101">_xlfn.IFS(M101=1,0,M101=2,-1,M101=4,-2,M101=0.5,1,M101=0.25,2,M101=0,4)</f>
        <v>0</v>
      </c>
      <c r="AG101" s="24" cm="1">
        <f t="array" ref="AG101">_xlfn.IFS(N101=1,0,N101=2,-1,N101=4,-2,N101=0.5,1,N101=0.25,2,N101=0,4)</f>
        <v>4</v>
      </c>
      <c r="AH101" s="24" cm="1">
        <f t="array" ref="AH101">_xlfn.IFS(O101=1,0,O101=2,-1,O101=4,-2,O101=0.5,1,O101=0.25,2,O101=0,4)</f>
        <v>0</v>
      </c>
      <c r="AI101" s="24" cm="1">
        <f t="array" ref="AI101">_xlfn.IFS(P101=1,0,P101=2,-1,P101=4,-2,P101=0.5,1,P101=0.25,2,P101=0,4)</f>
        <v>4</v>
      </c>
      <c r="AJ101" s="24" cm="1">
        <f t="array" ref="AJ101">_xlfn.IFS(Q101=1,0,Q101=2,-1,Q101=4,-2,Q101=0.5,1,Q101=0.25,2,Q101=0,4)</f>
        <v>0</v>
      </c>
    </row>
    <row r="102" spans="1:36" x14ac:dyDescent="0.2">
      <c r="A102" s="22" t="s">
        <v>11</v>
      </c>
      <c r="B102" s="22" t="s">
        <v>13</v>
      </c>
      <c r="C102" s="24">
        <f>INDEX(Output!$B$3:$P$17,MATCH('Defensive Summary'!C$1,Output!$A$3:$A$17,0),MATCH('Defensive Summary'!$A102,Output!$B$2:$P$2,0))*INDEX(Output!$B$3:$P$17,MATCH('Defensive Summary'!C$1,Output!$A$3:$A$17,0),MATCH('Defensive Summary'!$B102,Output!$B$2:$P$2,0))</f>
        <v>1</v>
      </c>
      <c r="D102" s="24">
        <f>INDEX(Output!$B$3:$P$17,MATCH('Defensive Summary'!D$1,Output!$A$3:$A$17,0),MATCH('Defensive Summary'!$A102,Output!$B$2:$P$2,0))*INDEX(Output!$B$3:$P$17,MATCH('Defensive Summary'!D$1,Output!$A$3:$A$17,0),MATCH('Defensive Summary'!$B102,Output!$B$2:$P$2,0))</f>
        <v>0.5</v>
      </c>
      <c r="E102" s="24">
        <f>INDEX(Output!$B$3:$P$17,MATCH('Defensive Summary'!E$1,Output!$A$3:$A$17,0),MATCH('Defensive Summary'!$A102,Output!$B$2:$P$2,0))*INDEX(Output!$B$3:$P$17,MATCH('Defensive Summary'!E$1,Output!$A$3:$A$17,0),MATCH('Defensive Summary'!$B102,Output!$B$2:$P$2,0))</f>
        <v>1</v>
      </c>
      <c r="F102" s="24">
        <f>INDEX(Output!$B$3:$P$17,MATCH('Defensive Summary'!F$1,Output!$A$3:$A$17,0),MATCH('Defensive Summary'!$A102,Output!$B$2:$P$2,0))*INDEX(Output!$B$3:$P$17,MATCH('Defensive Summary'!F$1,Output!$A$3:$A$17,0),MATCH('Defensive Summary'!$B102,Output!$B$2:$P$2,0))</f>
        <v>1</v>
      </c>
      <c r="G102" s="24">
        <f>INDEX(Output!$B$3:$P$17,MATCH('Defensive Summary'!G$1,Output!$A$3:$A$17,0),MATCH('Defensive Summary'!$A102,Output!$B$2:$P$2,0))*INDEX(Output!$B$3:$P$17,MATCH('Defensive Summary'!G$1,Output!$A$3:$A$17,0),MATCH('Defensive Summary'!$B102,Output!$B$2:$P$2,0))</f>
        <v>1</v>
      </c>
      <c r="H102" s="24">
        <f>INDEX(Output!$B$3:$P$17,MATCH('Defensive Summary'!H$1,Output!$A$3:$A$17,0),MATCH('Defensive Summary'!$A102,Output!$B$2:$P$2,0))*INDEX(Output!$B$3:$P$17,MATCH('Defensive Summary'!H$1,Output!$A$3:$A$17,0),MATCH('Defensive Summary'!$B102,Output!$B$2:$P$2,0))</f>
        <v>0.5</v>
      </c>
      <c r="I102" s="24">
        <f>INDEX(Output!$B$3:$P$17,MATCH('Defensive Summary'!I$1,Output!$A$3:$A$17,0),MATCH('Defensive Summary'!$A102,Output!$B$2:$P$2,0))*INDEX(Output!$B$3:$P$17,MATCH('Defensive Summary'!I$1,Output!$A$3:$A$17,0),MATCH('Defensive Summary'!$B102,Output!$B$2:$P$2,0))</f>
        <v>0.25</v>
      </c>
      <c r="J102" s="24">
        <f>INDEX(Output!$B$3:$P$17,MATCH('Defensive Summary'!J$1,Output!$A$3:$A$17,0),MATCH('Defensive Summary'!$A102,Output!$B$2:$P$2,0))*INDEX(Output!$B$3:$P$17,MATCH('Defensive Summary'!J$1,Output!$A$3:$A$17,0),MATCH('Defensive Summary'!$B102,Output!$B$2:$P$2,0))</f>
        <v>1</v>
      </c>
      <c r="K102" s="24">
        <f>INDEX(Output!$B$3:$P$17,MATCH('Defensive Summary'!K$1,Output!$A$3:$A$17,0),MATCH('Defensive Summary'!$A102,Output!$B$2:$P$2,0))*INDEX(Output!$B$3:$P$17,MATCH('Defensive Summary'!K$1,Output!$A$3:$A$17,0),MATCH('Defensive Summary'!$B102,Output!$B$2:$P$2,0))</f>
        <v>2</v>
      </c>
      <c r="L102" s="24">
        <f>INDEX(Output!$B$3:$P$17,MATCH('Defensive Summary'!L$1,Output!$A$3:$A$17,0),MATCH('Defensive Summary'!$A102,Output!$B$2:$P$2,0))*INDEX(Output!$B$3:$P$17,MATCH('Defensive Summary'!L$1,Output!$A$3:$A$17,0),MATCH('Defensive Summary'!$B102,Output!$B$2:$P$2,0))</f>
        <v>1</v>
      </c>
      <c r="M102" s="24">
        <f>INDEX(Output!$B$3:$P$17,MATCH('Defensive Summary'!M$1,Output!$A$3:$A$17,0),MATCH('Defensive Summary'!$A102,Output!$B$2:$P$2,0))*INDEX(Output!$B$3:$P$17,MATCH('Defensive Summary'!M$1,Output!$A$3:$A$17,0),MATCH('Defensive Summary'!$B102,Output!$B$2:$P$2,0))</f>
        <v>0.5</v>
      </c>
      <c r="N102" s="24">
        <f>INDEX(Output!$B$3:$P$17,MATCH('Defensive Summary'!N$1,Output!$A$3:$A$17,0),MATCH('Defensive Summary'!$A102,Output!$B$2:$P$2,0))*INDEX(Output!$B$3:$P$17,MATCH('Defensive Summary'!N$1,Output!$A$3:$A$17,0),MATCH('Defensive Summary'!$B102,Output!$B$2:$P$2,0))</f>
        <v>0.25</v>
      </c>
      <c r="O102" s="24">
        <f>INDEX(Output!$B$3:$P$17,MATCH('Defensive Summary'!O$1,Output!$A$3:$A$17,0),MATCH('Defensive Summary'!$A102,Output!$B$2:$P$2,0))*INDEX(Output!$B$3:$P$17,MATCH('Defensive Summary'!O$1,Output!$A$3:$A$17,0),MATCH('Defensive Summary'!$B102,Output!$B$2:$P$2,0))</f>
        <v>4</v>
      </c>
      <c r="P102" s="24">
        <f>INDEX(Output!$B$3:$P$17,MATCH('Defensive Summary'!P$1,Output!$A$3:$A$17,0),MATCH('Defensive Summary'!$A102,Output!$B$2:$P$2,0))*INDEX(Output!$B$3:$P$17,MATCH('Defensive Summary'!P$1,Output!$A$3:$A$17,0),MATCH('Defensive Summary'!$B102,Output!$B$2:$P$2,0))</f>
        <v>0.25</v>
      </c>
      <c r="Q102" s="24">
        <f>INDEX(Output!$B$3:$P$17,MATCH('Defensive Summary'!Q$1,Output!$A$3:$A$17,0),MATCH('Defensive Summary'!$A102,Output!$B$2:$P$2,0))*INDEX(Output!$B$3:$P$17,MATCH('Defensive Summary'!Q$1,Output!$A$3:$A$17,0),MATCH('Defensive Summary'!$B102,Output!$B$2:$P$2,0))</f>
        <v>1</v>
      </c>
      <c r="R102" s="24"/>
      <c r="S102" s="25">
        <f t="shared" si="1"/>
        <v>6</v>
      </c>
      <c r="T102" s="22" t="s">
        <v>11</v>
      </c>
      <c r="U102" s="22" t="s">
        <v>13</v>
      </c>
      <c r="V102" s="24" cm="1">
        <f t="array" ref="V102">_xlfn.IFS(C102=1,0,C102=2,-1,C102=4,-2,C102=0.5,1,C102=0.25,2,C102=0,4)</f>
        <v>0</v>
      </c>
      <c r="W102" s="24" cm="1">
        <f t="array" ref="W102">_xlfn.IFS(D102=1,0,D102=2,-1,D102=4,-2,D102=0.5,1,D102=0.25,2,D102=0,4)</f>
        <v>1</v>
      </c>
      <c r="X102" s="24" cm="1">
        <f t="array" ref="X102">_xlfn.IFS(E102=1,0,E102=2,-1,E102=4,-2,E102=0.5,1,E102=0.25,2,E102=0,4)</f>
        <v>0</v>
      </c>
      <c r="Y102" s="24" cm="1">
        <f t="array" ref="Y102">_xlfn.IFS(F102=1,0,F102=2,-1,F102=4,-2,F102=0.5,1,F102=0.25,2,F102=0,4)</f>
        <v>0</v>
      </c>
      <c r="Z102" s="24" cm="1">
        <f t="array" ref="Z102">_xlfn.IFS(G102=1,0,G102=2,-1,G102=4,-2,G102=0.5,1,G102=0.25,2,G102=0,4)</f>
        <v>0</v>
      </c>
      <c r="AA102" s="24" cm="1">
        <f t="array" ref="AA102">_xlfn.IFS(H102=1,0,H102=2,-1,H102=4,-2,H102=0.5,1,H102=0.25,2,H102=0,4)</f>
        <v>1</v>
      </c>
      <c r="AB102" s="24" cm="1">
        <f t="array" ref="AB102">_xlfn.IFS(I102=1,0,I102=2,-1,I102=4,-2,I102=0.5,1,I102=0.25,2,I102=0,4)</f>
        <v>2</v>
      </c>
      <c r="AC102" s="24" cm="1">
        <f t="array" ref="AC102">_xlfn.IFS(J102=1,0,J102=2,-1,J102=4,-2,J102=0.5,1,J102=0.25,2,J102=0,4)</f>
        <v>0</v>
      </c>
      <c r="AD102" s="24" cm="1">
        <f t="array" ref="AD102">_xlfn.IFS(K102=1,0,K102=2,-1,K102=4,-2,K102=0.5,1,K102=0.25,2,K102=0,4)</f>
        <v>-1</v>
      </c>
      <c r="AE102" s="24" cm="1">
        <f t="array" ref="AE102">_xlfn.IFS(L102=1,0,L102=2,-1,L102=4,-2,L102=0.5,1,L102=0.25,2,L102=0,4)</f>
        <v>0</v>
      </c>
      <c r="AF102" s="24" cm="1">
        <f t="array" ref="AF102">_xlfn.IFS(M102=1,0,M102=2,-1,M102=4,-2,M102=0.5,1,M102=0.25,2,M102=0,4)</f>
        <v>1</v>
      </c>
      <c r="AG102" s="24" cm="1">
        <f t="array" ref="AG102">_xlfn.IFS(N102=1,0,N102=2,-1,N102=4,-2,N102=0.5,1,N102=0.25,2,N102=0,4)</f>
        <v>2</v>
      </c>
      <c r="AH102" s="24" cm="1">
        <f t="array" ref="AH102">_xlfn.IFS(O102=1,0,O102=2,-1,O102=4,-2,O102=0.5,1,O102=0.25,2,O102=0,4)</f>
        <v>-2</v>
      </c>
      <c r="AI102" s="24" cm="1">
        <f t="array" ref="AI102">_xlfn.IFS(P102=1,0,P102=2,-1,P102=4,-2,P102=0.5,1,P102=0.25,2,P102=0,4)</f>
        <v>2</v>
      </c>
      <c r="AJ102" s="24" cm="1">
        <f t="array" ref="AJ102">_xlfn.IFS(Q102=1,0,Q102=2,-1,Q102=4,-2,Q102=0.5,1,Q102=0.25,2,Q102=0,4)</f>
        <v>0</v>
      </c>
    </row>
    <row r="103" spans="1:36" x14ac:dyDescent="0.2">
      <c r="A103" s="22" t="s">
        <v>11</v>
      </c>
      <c r="B103" s="22" t="s">
        <v>14</v>
      </c>
      <c r="C103" s="24">
        <f>INDEX(Output!$B$3:$P$17,MATCH('Defensive Summary'!C$1,Output!$A$3:$A$17,0),MATCH('Defensive Summary'!$A103,Output!$B$2:$P$2,0))*INDEX(Output!$B$3:$P$17,MATCH('Defensive Summary'!C$1,Output!$A$3:$A$17,0),MATCH('Defensive Summary'!$B103,Output!$B$2:$P$2,0))</f>
        <v>1</v>
      </c>
      <c r="D103" s="24">
        <f>INDEX(Output!$B$3:$P$17,MATCH('Defensive Summary'!D$1,Output!$A$3:$A$17,0),MATCH('Defensive Summary'!$A103,Output!$B$2:$P$2,0))*INDEX(Output!$B$3:$P$17,MATCH('Defensive Summary'!D$1,Output!$A$3:$A$17,0),MATCH('Defensive Summary'!$B103,Output!$B$2:$P$2,0))</f>
        <v>1</v>
      </c>
      <c r="E103" s="24">
        <f>INDEX(Output!$B$3:$P$17,MATCH('Defensive Summary'!E$1,Output!$A$3:$A$17,0),MATCH('Defensive Summary'!$A103,Output!$B$2:$P$2,0))*INDEX(Output!$B$3:$P$17,MATCH('Defensive Summary'!E$1,Output!$A$3:$A$17,0),MATCH('Defensive Summary'!$B103,Output!$B$2:$P$2,0))</f>
        <v>1</v>
      </c>
      <c r="F103" s="24">
        <f>INDEX(Output!$B$3:$P$17,MATCH('Defensive Summary'!F$1,Output!$A$3:$A$17,0),MATCH('Defensive Summary'!$A103,Output!$B$2:$P$2,0))*INDEX(Output!$B$3:$P$17,MATCH('Defensive Summary'!F$1,Output!$A$3:$A$17,0),MATCH('Defensive Summary'!$B103,Output!$B$2:$P$2,0))</f>
        <v>1</v>
      </c>
      <c r="G103" s="24">
        <f>INDEX(Output!$B$3:$P$17,MATCH('Defensive Summary'!G$1,Output!$A$3:$A$17,0),MATCH('Defensive Summary'!$A103,Output!$B$2:$P$2,0))*INDEX(Output!$B$3:$P$17,MATCH('Defensive Summary'!G$1,Output!$A$3:$A$17,0),MATCH('Defensive Summary'!$B103,Output!$B$2:$P$2,0))</f>
        <v>1</v>
      </c>
      <c r="H103" s="24">
        <f>INDEX(Output!$B$3:$P$17,MATCH('Defensive Summary'!H$1,Output!$A$3:$A$17,0),MATCH('Defensive Summary'!$A103,Output!$B$2:$P$2,0))*INDEX(Output!$B$3:$P$17,MATCH('Defensive Summary'!H$1,Output!$A$3:$A$17,0),MATCH('Defensive Summary'!$B103,Output!$B$2:$P$2,0))</f>
        <v>1</v>
      </c>
      <c r="I103" s="24">
        <f>INDEX(Output!$B$3:$P$17,MATCH('Defensive Summary'!I$1,Output!$A$3:$A$17,0),MATCH('Defensive Summary'!$A103,Output!$B$2:$P$2,0))*INDEX(Output!$B$3:$P$17,MATCH('Defensive Summary'!I$1,Output!$A$3:$A$17,0),MATCH('Defensive Summary'!$B103,Output!$B$2:$P$2,0))</f>
        <v>0.5</v>
      </c>
      <c r="J103" s="24">
        <f>INDEX(Output!$B$3:$P$17,MATCH('Defensive Summary'!J$1,Output!$A$3:$A$17,0),MATCH('Defensive Summary'!$A103,Output!$B$2:$P$2,0))*INDEX(Output!$B$3:$P$17,MATCH('Defensive Summary'!J$1,Output!$A$3:$A$17,0),MATCH('Defensive Summary'!$B103,Output!$B$2:$P$2,0))</f>
        <v>1</v>
      </c>
      <c r="K103" s="24">
        <f>INDEX(Output!$B$3:$P$17,MATCH('Defensive Summary'!K$1,Output!$A$3:$A$17,0),MATCH('Defensive Summary'!$A103,Output!$B$2:$P$2,0))*INDEX(Output!$B$3:$P$17,MATCH('Defensive Summary'!K$1,Output!$A$3:$A$17,0),MATCH('Defensive Summary'!$B103,Output!$B$2:$P$2,0))</f>
        <v>1</v>
      </c>
      <c r="L103" s="24">
        <f>INDEX(Output!$B$3:$P$17,MATCH('Defensive Summary'!L$1,Output!$A$3:$A$17,0),MATCH('Defensive Summary'!$A103,Output!$B$2:$P$2,0))*INDEX(Output!$B$3:$P$17,MATCH('Defensive Summary'!L$1,Output!$A$3:$A$17,0),MATCH('Defensive Summary'!$B103,Output!$B$2:$P$2,0))</f>
        <v>1</v>
      </c>
      <c r="M103" s="24">
        <f>INDEX(Output!$B$3:$P$17,MATCH('Defensive Summary'!M$1,Output!$A$3:$A$17,0),MATCH('Defensive Summary'!$A103,Output!$B$2:$P$2,0))*INDEX(Output!$B$3:$P$17,MATCH('Defensive Summary'!M$1,Output!$A$3:$A$17,0),MATCH('Defensive Summary'!$B103,Output!$B$2:$P$2,0))</f>
        <v>1</v>
      </c>
      <c r="N103" s="24">
        <f>INDEX(Output!$B$3:$P$17,MATCH('Defensive Summary'!N$1,Output!$A$3:$A$17,0),MATCH('Defensive Summary'!$A103,Output!$B$2:$P$2,0))*INDEX(Output!$B$3:$P$17,MATCH('Defensive Summary'!N$1,Output!$A$3:$A$17,0),MATCH('Defensive Summary'!$B103,Output!$B$2:$P$2,0))</f>
        <v>0.5</v>
      </c>
      <c r="O103" s="24">
        <f>INDEX(Output!$B$3:$P$17,MATCH('Defensive Summary'!O$1,Output!$A$3:$A$17,0),MATCH('Defensive Summary'!$A103,Output!$B$2:$P$2,0))*INDEX(Output!$B$3:$P$17,MATCH('Defensive Summary'!O$1,Output!$A$3:$A$17,0),MATCH('Defensive Summary'!$B103,Output!$B$2:$P$2,0))</f>
        <v>2</v>
      </c>
      <c r="P103" s="24">
        <f>INDEX(Output!$B$3:$P$17,MATCH('Defensive Summary'!P$1,Output!$A$3:$A$17,0),MATCH('Defensive Summary'!$A103,Output!$B$2:$P$2,0))*INDEX(Output!$B$3:$P$17,MATCH('Defensive Summary'!P$1,Output!$A$3:$A$17,0),MATCH('Defensive Summary'!$B103,Output!$B$2:$P$2,0))</f>
        <v>0.5</v>
      </c>
      <c r="Q103" s="24">
        <f>INDEX(Output!$B$3:$P$17,MATCH('Defensive Summary'!Q$1,Output!$A$3:$A$17,0),MATCH('Defensive Summary'!$A103,Output!$B$2:$P$2,0))*INDEX(Output!$B$3:$P$17,MATCH('Defensive Summary'!Q$1,Output!$A$3:$A$17,0),MATCH('Defensive Summary'!$B103,Output!$B$2:$P$2,0))</f>
        <v>1</v>
      </c>
      <c r="R103" s="24"/>
      <c r="S103" s="25">
        <f t="shared" si="1"/>
        <v>2</v>
      </c>
      <c r="T103" s="22" t="s">
        <v>11</v>
      </c>
      <c r="U103" s="22" t="s">
        <v>14</v>
      </c>
      <c r="V103" s="24" cm="1">
        <f t="array" ref="V103">_xlfn.IFS(C103=1,0,C103=2,-1,C103=4,-2,C103=0.5,1,C103=0.25,2,C103=0,4)</f>
        <v>0</v>
      </c>
      <c r="W103" s="24" cm="1">
        <f t="array" ref="W103">_xlfn.IFS(D103=1,0,D103=2,-1,D103=4,-2,D103=0.5,1,D103=0.25,2,D103=0,4)</f>
        <v>0</v>
      </c>
      <c r="X103" s="24" cm="1">
        <f t="array" ref="X103">_xlfn.IFS(E103=1,0,E103=2,-1,E103=4,-2,E103=0.5,1,E103=0.25,2,E103=0,4)</f>
        <v>0</v>
      </c>
      <c r="Y103" s="24" cm="1">
        <f t="array" ref="Y103">_xlfn.IFS(F103=1,0,F103=2,-1,F103=4,-2,F103=0.5,1,F103=0.25,2,F103=0,4)</f>
        <v>0</v>
      </c>
      <c r="Z103" s="24" cm="1">
        <f t="array" ref="Z103">_xlfn.IFS(G103=1,0,G103=2,-1,G103=4,-2,G103=0.5,1,G103=0.25,2,G103=0,4)</f>
        <v>0</v>
      </c>
      <c r="AA103" s="24" cm="1">
        <f t="array" ref="AA103">_xlfn.IFS(H103=1,0,H103=2,-1,H103=4,-2,H103=0.5,1,H103=0.25,2,H103=0,4)</f>
        <v>0</v>
      </c>
      <c r="AB103" s="24" cm="1">
        <f t="array" ref="AB103">_xlfn.IFS(I103=1,0,I103=2,-1,I103=4,-2,I103=0.5,1,I103=0.25,2,I103=0,4)</f>
        <v>1</v>
      </c>
      <c r="AC103" s="24" cm="1">
        <f t="array" ref="AC103">_xlfn.IFS(J103=1,0,J103=2,-1,J103=4,-2,J103=0.5,1,J103=0.25,2,J103=0,4)</f>
        <v>0</v>
      </c>
      <c r="AD103" s="24" cm="1">
        <f t="array" ref="AD103">_xlfn.IFS(K103=1,0,K103=2,-1,K103=4,-2,K103=0.5,1,K103=0.25,2,K103=0,4)</f>
        <v>0</v>
      </c>
      <c r="AE103" s="24" cm="1">
        <f t="array" ref="AE103">_xlfn.IFS(L103=1,0,L103=2,-1,L103=4,-2,L103=0.5,1,L103=0.25,2,L103=0,4)</f>
        <v>0</v>
      </c>
      <c r="AF103" s="24" cm="1">
        <f t="array" ref="AF103">_xlfn.IFS(M103=1,0,M103=2,-1,M103=4,-2,M103=0.5,1,M103=0.25,2,M103=0,4)</f>
        <v>0</v>
      </c>
      <c r="AG103" s="24" cm="1">
        <f t="array" ref="AG103">_xlfn.IFS(N103=1,0,N103=2,-1,N103=4,-2,N103=0.5,1,N103=0.25,2,N103=0,4)</f>
        <v>1</v>
      </c>
      <c r="AH103" s="24" cm="1">
        <f t="array" ref="AH103">_xlfn.IFS(O103=1,0,O103=2,-1,O103=4,-2,O103=0.5,1,O103=0.25,2,O103=0,4)</f>
        <v>-1</v>
      </c>
      <c r="AI103" s="24" cm="1">
        <f t="array" ref="AI103">_xlfn.IFS(P103=1,0,P103=2,-1,P103=4,-2,P103=0.5,1,P103=0.25,2,P103=0,4)</f>
        <v>1</v>
      </c>
      <c r="AJ103" s="24" cm="1">
        <f t="array" ref="AJ103">_xlfn.IFS(Q103=1,0,Q103=2,-1,Q103=4,-2,Q103=0.5,1,Q103=0.25,2,Q103=0,4)</f>
        <v>0</v>
      </c>
    </row>
    <row r="104" spans="1:36" x14ac:dyDescent="0.2">
      <c r="A104" s="22" t="s">
        <v>12</v>
      </c>
      <c r="B104" s="22" t="s">
        <v>13</v>
      </c>
      <c r="C104" s="24">
        <f>INDEX(Output!$B$3:$P$17,MATCH('Defensive Summary'!C$1,Output!$A$3:$A$17,0),MATCH('Defensive Summary'!$A104,Output!$B$2:$P$2,0))*INDEX(Output!$B$3:$P$17,MATCH('Defensive Summary'!C$1,Output!$A$3:$A$17,0),MATCH('Defensive Summary'!$B104,Output!$B$2:$P$2,0))</f>
        <v>2</v>
      </c>
      <c r="D104" s="24">
        <f>INDEX(Output!$B$3:$P$17,MATCH('Defensive Summary'!D$1,Output!$A$3:$A$17,0),MATCH('Defensive Summary'!$A104,Output!$B$2:$P$2,0))*INDEX(Output!$B$3:$P$17,MATCH('Defensive Summary'!D$1,Output!$A$3:$A$17,0),MATCH('Defensive Summary'!$B104,Output!$B$2:$P$2,0))</f>
        <v>1</v>
      </c>
      <c r="E104" s="24">
        <f>INDEX(Output!$B$3:$P$17,MATCH('Defensive Summary'!E$1,Output!$A$3:$A$17,0),MATCH('Defensive Summary'!$A104,Output!$B$2:$P$2,0))*INDEX(Output!$B$3:$P$17,MATCH('Defensive Summary'!E$1,Output!$A$3:$A$17,0),MATCH('Defensive Summary'!$B104,Output!$B$2:$P$2,0))</f>
        <v>2</v>
      </c>
      <c r="F104" s="24">
        <f>INDEX(Output!$B$3:$P$17,MATCH('Defensive Summary'!F$1,Output!$A$3:$A$17,0),MATCH('Defensive Summary'!$A104,Output!$B$2:$P$2,0))*INDEX(Output!$B$3:$P$17,MATCH('Defensive Summary'!F$1,Output!$A$3:$A$17,0),MATCH('Defensive Summary'!$B104,Output!$B$2:$P$2,0))</f>
        <v>1</v>
      </c>
      <c r="G104" s="24">
        <f>INDEX(Output!$B$3:$P$17,MATCH('Defensive Summary'!G$1,Output!$A$3:$A$17,0),MATCH('Defensive Summary'!$A104,Output!$B$2:$P$2,0))*INDEX(Output!$B$3:$P$17,MATCH('Defensive Summary'!G$1,Output!$A$3:$A$17,0),MATCH('Defensive Summary'!$B104,Output!$B$2:$P$2,0))</f>
        <v>0.5</v>
      </c>
      <c r="H104" s="24">
        <f>INDEX(Output!$B$3:$P$17,MATCH('Defensive Summary'!H$1,Output!$A$3:$A$17,0),MATCH('Defensive Summary'!$A104,Output!$B$2:$P$2,0))*INDEX(Output!$B$3:$P$17,MATCH('Defensive Summary'!H$1,Output!$A$3:$A$17,0),MATCH('Defensive Summary'!$B104,Output!$B$2:$P$2,0))</f>
        <v>1</v>
      </c>
      <c r="I104" s="24">
        <f>INDEX(Output!$B$3:$P$17,MATCH('Defensive Summary'!I$1,Output!$A$3:$A$17,0),MATCH('Defensive Summary'!$A104,Output!$B$2:$P$2,0))*INDEX(Output!$B$3:$P$17,MATCH('Defensive Summary'!I$1,Output!$A$3:$A$17,0),MATCH('Defensive Summary'!$B104,Output!$B$2:$P$2,0))</f>
        <v>1</v>
      </c>
      <c r="J104" s="24">
        <f>INDEX(Output!$B$3:$P$17,MATCH('Defensive Summary'!J$1,Output!$A$3:$A$17,0),MATCH('Defensive Summary'!$A104,Output!$B$2:$P$2,0))*INDEX(Output!$B$3:$P$17,MATCH('Defensive Summary'!J$1,Output!$A$3:$A$17,0),MATCH('Defensive Summary'!$B104,Output!$B$2:$P$2,0))</f>
        <v>0.5</v>
      </c>
      <c r="K104" s="24">
        <f>INDEX(Output!$B$3:$P$17,MATCH('Defensive Summary'!K$1,Output!$A$3:$A$17,0),MATCH('Defensive Summary'!$A104,Output!$B$2:$P$2,0))*INDEX(Output!$B$3:$P$17,MATCH('Defensive Summary'!K$1,Output!$A$3:$A$17,0),MATCH('Defensive Summary'!$B104,Output!$B$2:$P$2,0))</f>
        <v>2</v>
      </c>
      <c r="L104" s="24">
        <f>INDEX(Output!$B$3:$P$17,MATCH('Defensive Summary'!L$1,Output!$A$3:$A$17,0),MATCH('Defensive Summary'!$A104,Output!$B$2:$P$2,0))*INDEX(Output!$B$3:$P$17,MATCH('Defensive Summary'!L$1,Output!$A$3:$A$17,0),MATCH('Defensive Summary'!$B104,Output!$B$2:$P$2,0))</f>
        <v>2</v>
      </c>
      <c r="M104" s="24">
        <f>INDEX(Output!$B$3:$P$17,MATCH('Defensive Summary'!M$1,Output!$A$3:$A$17,0),MATCH('Defensive Summary'!$A104,Output!$B$2:$P$2,0))*INDEX(Output!$B$3:$P$17,MATCH('Defensive Summary'!M$1,Output!$A$3:$A$17,0),MATCH('Defensive Summary'!$B104,Output!$B$2:$P$2,0))</f>
        <v>0.5</v>
      </c>
      <c r="N104" s="24">
        <f>INDEX(Output!$B$3:$P$17,MATCH('Defensive Summary'!N$1,Output!$A$3:$A$17,0),MATCH('Defensive Summary'!$A104,Output!$B$2:$P$2,0))*INDEX(Output!$B$3:$P$17,MATCH('Defensive Summary'!N$1,Output!$A$3:$A$17,0),MATCH('Defensive Summary'!$B104,Output!$B$2:$P$2,0))</f>
        <v>0</v>
      </c>
      <c r="O104" s="24">
        <f>INDEX(Output!$B$3:$P$17,MATCH('Defensive Summary'!O$1,Output!$A$3:$A$17,0),MATCH('Defensive Summary'!$A104,Output!$B$2:$P$2,0))*INDEX(Output!$B$3:$P$17,MATCH('Defensive Summary'!O$1,Output!$A$3:$A$17,0),MATCH('Defensive Summary'!$B104,Output!$B$2:$P$2,0))</f>
        <v>1</v>
      </c>
      <c r="P104" s="24">
        <f>INDEX(Output!$B$3:$P$17,MATCH('Defensive Summary'!P$1,Output!$A$3:$A$17,0),MATCH('Defensive Summary'!$A104,Output!$B$2:$P$2,0))*INDEX(Output!$B$3:$P$17,MATCH('Defensive Summary'!P$1,Output!$A$3:$A$17,0),MATCH('Defensive Summary'!$B104,Output!$B$2:$P$2,0))</f>
        <v>0</v>
      </c>
      <c r="Q104" s="24">
        <f>INDEX(Output!$B$3:$P$17,MATCH('Defensive Summary'!Q$1,Output!$A$3:$A$17,0),MATCH('Defensive Summary'!$A104,Output!$B$2:$P$2,0))*INDEX(Output!$B$3:$P$17,MATCH('Defensive Summary'!Q$1,Output!$A$3:$A$17,0),MATCH('Defensive Summary'!$B104,Output!$B$2:$P$2,0))</f>
        <v>1</v>
      </c>
      <c r="R104" s="24"/>
      <c r="S104" s="25">
        <f t="shared" si="1"/>
        <v>7</v>
      </c>
      <c r="T104" s="22" t="s">
        <v>12</v>
      </c>
      <c r="U104" s="22" t="s">
        <v>13</v>
      </c>
      <c r="V104" s="24" cm="1">
        <f t="array" ref="V104">_xlfn.IFS(C104=1,0,C104=2,-1,C104=4,-2,C104=0.5,1,C104=0.25,2,C104=0,4)</f>
        <v>-1</v>
      </c>
      <c r="W104" s="24" cm="1">
        <f t="array" ref="W104">_xlfn.IFS(D104=1,0,D104=2,-1,D104=4,-2,D104=0.5,1,D104=0.25,2,D104=0,4)</f>
        <v>0</v>
      </c>
      <c r="X104" s="24" cm="1">
        <f t="array" ref="X104">_xlfn.IFS(E104=1,0,E104=2,-1,E104=4,-2,E104=0.5,1,E104=0.25,2,E104=0,4)</f>
        <v>-1</v>
      </c>
      <c r="Y104" s="24" cm="1">
        <f t="array" ref="Y104">_xlfn.IFS(F104=1,0,F104=2,-1,F104=4,-2,F104=0.5,1,F104=0.25,2,F104=0,4)</f>
        <v>0</v>
      </c>
      <c r="Z104" s="24" cm="1">
        <f t="array" ref="Z104">_xlfn.IFS(G104=1,0,G104=2,-1,G104=4,-2,G104=0.5,1,G104=0.25,2,G104=0,4)</f>
        <v>1</v>
      </c>
      <c r="AA104" s="24" cm="1">
        <f t="array" ref="AA104">_xlfn.IFS(H104=1,0,H104=2,-1,H104=4,-2,H104=0.5,1,H104=0.25,2,H104=0,4)</f>
        <v>0</v>
      </c>
      <c r="AB104" s="24" cm="1">
        <f t="array" ref="AB104">_xlfn.IFS(I104=1,0,I104=2,-1,I104=4,-2,I104=0.5,1,I104=0.25,2,I104=0,4)</f>
        <v>0</v>
      </c>
      <c r="AC104" s="24" cm="1">
        <f t="array" ref="AC104">_xlfn.IFS(J104=1,0,J104=2,-1,J104=4,-2,J104=0.5,1,J104=0.25,2,J104=0,4)</f>
        <v>1</v>
      </c>
      <c r="AD104" s="24" cm="1">
        <f t="array" ref="AD104">_xlfn.IFS(K104=1,0,K104=2,-1,K104=4,-2,K104=0.5,1,K104=0.25,2,K104=0,4)</f>
        <v>-1</v>
      </c>
      <c r="AE104" s="24" cm="1">
        <f t="array" ref="AE104">_xlfn.IFS(L104=1,0,L104=2,-1,L104=4,-2,L104=0.5,1,L104=0.25,2,L104=0,4)</f>
        <v>-1</v>
      </c>
      <c r="AF104" s="24" cm="1">
        <f t="array" ref="AF104">_xlfn.IFS(M104=1,0,M104=2,-1,M104=4,-2,M104=0.5,1,M104=0.25,2,M104=0,4)</f>
        <v>1</v>
      </c>
      <c r="AG104" s="24" cm="1">
        <f t="array" ref="AG104">_xlfn.IFS(N104=1,0,N104=2,-1,N104=4,-2,N104=0.5,1,N104=0.25,2,N104=0,4)</f>
        <v>4</v>
      </c>
      <c r="AH104" s="24" cm="1">
        <f t="array" ref="AH104">_xlfn.IFS(O104=1,0,O104=2,-1,O104=4,-2,O104=0.5,1,O104=0.25,2,O104=0,4)</f>
        <v>0</v>
      </c>
      <c r="AI104" s="24" cm="1">
        <f t="array" ref="AI104">_xlfn.IFS(P104=1,0,P104=2,-1,P104=4,-2,P104=0.5,1,P104=0.25,2,P104=0,4)</f>
        <v>4</v>
      </c>
      <c r="AJ104" s="24" cm="1">
        <f t="array" ref="AJ104">_xlfn.IFS(Q104=1,0,Q104=2,-1,Q104=4,-2,Q104=0.5,1,Q104=0.25,2,Q104=0,4)</f>
        <v>0</v>
      </c>
    </row>
    <row r="105" spans="1:36" x14ac:dyDescent="0.2">
      <c r="A105" s="22" t="s">
        <v>12</v>
      </c>
      <c r="B105" s="22" t="s">
        <v>14</v>
      </c>
      <c r="C105" s="24">
        <f>INDEX(Output!$B$3:$P$17,MATCH('Defensive Summary'!C$1,Output!$A$3:$A$17,0),MATCH('Defensive Summary'!$A105,Output!$B$2:$P$2,0))*INDEX(Output!$B$3:$P$17,MATCH('Defensive Summary'!C$1,Output!$A$3:$A$17,0),MATCH('Defensive Summary'!$B105,Output!$B$2:$P$2,0))</f>
        <v>2</v>
      </c>
      <c r="D105" s="24">
        <f>INDEX(Output!$B$3:$P$17,MATCH('Defensive Summary'!D$1,Output!$A$3:$A$17,0),MATCH('Defensive Summary'!$A105,Output!$B$2:$P$2,0))*INDEX(Output!$B$3:$P$17,MATCH('Defensive Summary'!D$1,Output!$A$3:$A$17,0),MATCH('Defensive Summary'!$B105,Output!$B$2:$P$2,0))</f>
        <v>2</v>
      </c>
      <c r="E105" s="24">
        <f>INDEX(Output!$B$3:$P$17,MATCH('Defensive Summary'!E$1,Output!$A$3:$A$17,0),MATCH('Defensive Summary'!$A105,Output!$B$2:$P$2,0))*INDEX(Output!$B$3:$P$17,MATCH('Defensive Summary'!E$1,Output!$A$3:$A$17,0),MATCH('Defensive Summary'!$B105,Output!$B$2:$P$2,0))</f>
        <v>2</v>
      </c>
      <c r="F105" s="24">
        <f>INDEX(Output!$B$3:$P$17,MATCH('Defensive Summary'!F$1,Output!$A$3:$A$17,0),MATCH('Defensive Summary'!$A105,Output!$B$2:$P$2,0))*INDEX(Output!$B$3:$P$17,MATCH('Defensive Summary'!F$1,Output!$A$3:$A$17,0),MATCH('Defensive Summary'!$B105,Output!$B$2:$P$2,0))</f>
        <v>1</v>
      </c>
      <c r="G105" s="24">
        <f>INDEX(Output!$B$3:$P$17,MATCH('Defensive Summary'!G$1,Output!$A$3:$A$17,0),MATCH('Defensive Summary'!$A105,Output!$B$2:$P$2,0))*INDEX(Output!$B$3:$P$17,MATCH('Defensive Summary'!G$1,Output!$A$3:$A$17,0),MATCH('Defensive Summary'!$B105,Output!$B$2:$P$2,0))</f>
        <v>0.5</v>
      </c>
      <c r="H105" s="24">
        <f>INDEX(Output!$B$3:$P$17,MATCH('Defensive Summary'!H$1,Output!$A$3:$A$17,0),MATCH('Defensive Summary'!$A105,Output!$B$2:$P$2,0))*INDEX(Output!$B$3:$P$17,MATCH('Defensive Summary'!H$1,Output!$A$3:$A$17,0),MATCH('Defensive Summary'!$B105,Output!$B$2:$P$2,0))</f>
        <v>2</v>
      </c>
      <c r="I105" s="24">
        <f>INDEX(Output!$B$3:$P$17,MATCH('Defensive Summary'!I$1,Output!$A$3:$A$17,0),MATCH('Defensive Summary'!$A105,Output!$B$2:$P$2,0))*INDEX(Output!$B$3:$P$17,MATCH('Defensive Summary'!I$1,Output!$A$3:$A$17,0),MATCH('Defensive Summary'!$B105,Output!$B$2:$P$2,0))</f>
        <v>2</v>
      </c>
      <c r="J105" s="24">
        <f>INDEX(Output!$B$3:$P$17,MATCH('Defensive Summary'!J$1,Output!$A$3:$A$17,0),MATCH('Defensive Summary'!$A105,Output!$B$2:$P$2,0))*INDEX(Output!$B$3:$P$17,MATCH('Defensive Summary'!J$1,Output!$A$3:$A$17,0),MATCH('Defensive Summary'!$B105,Output!$B$2:$P$2,0))</f>
        <v>0.5</v>
      </c>
      <c r="K105" s="24">
        <f>INDEX(Output!$B$3:$P$17,MATCH('Defensive Summary'!K$1,Output!$A$3:$A$17,0),MATCH('Defensive Summary'!$A105,Output!$B$2:$P$2,0))*INDEX(Output!$B$3:$P$17,MATCH('Defensive Summary'!K$1,Output!$A$3:$A$17,0),MATCH('Defensive Summary'!$B105,Output!$B$2:$P$2,0))</f>
        <v>1</v>
      </c>
      <c r="L105" s="24">
        <f>INDEX(Output!$B$3:$P$17,MATCH('Defensive Summary'!L$1,Output!$A$3:$A$17,0),MATCH('Defensive Summary'!$A105,Output!$B$2:$P$2,0))*INDEX(Output!$B$3:$P$17,MATCH('Defensive Summary'!L$1,Output!$A$3:$A$17,0),MATCH('Defensive Summary'!$B105,Output!$B$2:$P$2,0))</f>
        <v>2</v>
      </c>
      <c r="M105" s="24">
        <f>INDEX(Output!$B$3:$P$17,MATCH('Defensive Summary'!M$1,Output!$A$3:$A$17,0),MATCH('Defensive Summary'!$A105,Output!$B$2:$P$2,0))*INDEX(Output!$B$3:$P$17,MATCH('Defensive Summary'!M$1,Output!$A$3:$A$17,0),MATCH('Defensive Summary'!$B105,Output!$B$2:$P$2,0))</f>
        <v>1</v>
      </c>
      <c r="N105" s="24">
        <f>INDEX(Output!$B$3:$P$17,MATCH('Defensive Summary'!N$1,Output!$A$3:$A$17,0),MATCH('Defensive Summary'!$A105,Output!$B$2:$P$2,0))*INDEX(Output!$B$3:$P$17,MATCH('Defensive Summary'!N$1,Output!$A$3:$A$17,0),MATCH('Defensive Summary'!$B105,Output!$B$2:$P$2,0))</f>
        <v>0</v>
      </c>
      <c r="O105" s="24">
        <f>INDEX(Output!$B$3:$P$17,MATCH('Defensive Summary'!O$1,Output!$A$3:$A$17,0),MATCH('Defensive Summary'!$A105,Output!$B$2:$P$2,0))*INDEX(Output!$B$3:$P$17,MATCH('Defensive Summary'!O$1,Output!$A$3:$A$17,0),MATCH('Defensive Summary'!$B105,Output!$B$2:$P$2,0))</f>
        <v>0.5</v>
      </c>
      <c r="P105" s="24">
        <f>INDEX(Output!$B$3:$P$17,MATCH('Defensive Summary'!P$1,Output!$A$3:$A$17,0),MATCH('Defensive Summary'!$A105,Output!$B$2:$P$2,0))*INDEX(Output!$B$3:$P$17,MATCH('Defensive Summary'!P$1,Output!$A$3:$A$17,0),MATCH('Defensive Summary'!$B105,Output!$B$2:$P$2,0))</f>
        <v>0</v>
      </c>
      <c r="Q105" s="24">
        <f>INDEX(Output!$B$3:$P$17,MATCH('Defensive Summary'!Q$1,Output!$A$3:$A$17,0),MATCH('Defensive Summary'!$A105,Output!$B$2:$P$2,0))*INDEX(Output!$B$3:$P$17,MATCH('Defensive Summary'!Q$1,Output!$A$3:$A$17,0),MATCH('Defensive Summary'!$B105,Output!$B$2:$P$2,0))</f>
        <v>1</v>
      </c>
      <c r="R105" s="24"/>
      <c r="S105" s="25">
        <f t="shared" si="1"/>
        <v>5</v>
      </c>
      <c r="T105" s="22" t="s">
        <v>12</v>
      </c>
      <c r="U105" s="22" t="s">
        <v>14</v>
      </c>
      <c r="V105" s="24" cm="1">
        <f t="array" ref="V105">_xlfn.IFS(C105=1,0,C105=2,-1,C105=4,-2,C105=0.5,1,C105=0.25,2,C105=0,4)</f>
        <v>-1</v>
      </c>
      <c r="W105" s="24" cm="1">
        <f t="array" ref="W105">_xlfn.IFS(D105=1,0,D105=2,-1,D105=4,-2,D105=0.5,1,D105=0.25,2,D105=0,4)</f>
        <v>-1</v>
      </c>
      <c r="X105" s="24" cm="1">
        <f t="array" ref="X105">_xlfn.IFS(E105=1,0,E105=2,-1,E105=4,-2,E105=0.5,1,E105=0.25,2,E105=0,4)</f>
        <v>-1</v>
      </c>
      <c r="Y105" s="24" cm="1">
        <f t="array" ref="Y105">_xlfn.IFS(F105=1,0,F105=2,-1,F105=4,-2,F105=0.5,1,F105=0.25,2,F105=0,4)</f>
        <v>0</v>
      </c>
      <c r="Z105" s="24" cm="1">
        <f t="array" ref="Z105">_xlfn.IFS(G105=1,0,G105=2,-1,G105=4,-2,G105=0.5,1,G105=0.25,2,G105=0,4)</f>
        <v>1</v>
      </c>
      <c r="AA105" s="24" cm="1">
        <f t="array" ref="AA105">_xlfn.IFS(H105=1,0,H105=2,-1,H105=4,-2,H105=0.5,1,H105=0.25,2,H105=0,4)</f>
        <v>-1</v>
      </c>
      <c r="AB105" s="24" cm="1">
        <f t="array" ref="AB105">_xlfn.IFS(I105=1,0,I105=2,-1,I105=4,-2,I105=0.5,1,I105=0.25,2,I105=0,4)</f>
        <v>-1</v>
      </c>
      <c r="AC105" s="24" cm="1">
        <f t="array" ref="AC105">_xlfn.IFS(J105=1,0,J105=2,-1,J105=4,-2,J105=0.5,1,J105=0.25,2,J105=0,4)</f>
        <v>1</v>
      </c>
      <c r="AD105" s="24" cm="1">
        <f t="array" ref="AD105">_xlfn.IFS(K105=1,0,K105=2,-1,K105=4,-2,K105=0.5,1,K105=0.25,2,K105=0,4)</f>
        <v>0</v>
      </c>
      <c r="AE105" s="24" cm="1">
        <f t="array" ref="AE105">_xlfn.IFS(L105=1,0,L105=2,-1,L105=4,-2,L105=0.5,1,L105=0.25,2,L105=0,4)</f>
        <v>-1</v>
      </c>
      <c r="AF105" s="24" cm="1">
        <f t="array" ref="AF105">_xlfn.IFS(M105=1,0,M105=2,-1,M105=4,-2,M105=0.5,1,M105=0.25,2,M105=0,4)</f>
        <v>0</v>
      </c>
      <c r="AG105" s="24" cm="1">
        <f t="array" ref="AG105">_xlfn.IFS(N105=1,0,N105=2,-1,N105=4,-2,N105=0.5,1,N105=0.25,2,N105=0,4)</f>
        <v>4</v>
      </c>
      <c r="AH105" s="24" cm="1">
        <f t="array" ref="AH105">_xlfn.IFS(O105=1,0,O105=2,-1,O105=4,-2,O105=0.5,1,O105=0.25,2,O105=0,4)</f>
        <v>1</v>
      </c>
      <c r="AI105" s="24" cm="1">
        <f t="array" ref="AI105">_xlfn.IFS(P105=1,0,P105=2,-1,P105=4,-2,P105=0.5,1,P105=0.25,2,P105=0,4)</f>
        <v>4</v>
      </c>
      <c r="AJ105" s="24" cm="1">
        <f t="array" ref="AJ105">_xlfn.IFS(Q105=1,0,Q105=2,-1,Q105=4,-2,Q105=0.5,1,Q105=0.25,2,Q105=0,4)</f>
        <v>0</v>
      </c>
    </row>
    <row r="106" spans="1:36" x14ac:dyDescent="0.2">
      <c r="A106" s="22" t="s">
        <v>13</v>
      </c>
      <c r="B106" s="22" t="s">
        <v>14</v>
      </c>
      <c r="C106" s="24">
        <f>INDEX(Output!$B$3:$P$17,MATCH('Defensive Summary'!C$1,Output!$A$3:$A$17,0),MATCH('Defensive Summary'!$A106,Output!$B$2:$P$2,0))*INDEX(Output!$B$3:$P$17,MATCH('Defensive Summary'!C$1,Output!$A$3:$A$17,0),MATCH('Defensive Summary'!$B106,Output!$B$2:$P$2,0))</f>
        <v>1</v>
      </c>
      <c r="D106" s="24">
        <f>INDEX(Output!$B$3:$P$17,MATCH('Defensive Summary'!D$1,Output!$A$3:$A$17,0),MATCH('Defensive Summary'!$A106,Output!$B$2:$P$2,0))*INDEX(Output!$B$3:$P$17,MATCH('Defensive Summary'!D$1,Output!$A$3:$A$17,0),MATCH('Defensive Summary'!$B106,Output!$B$2:$P$2,0))</f>
        <v>0.5</v>
      </c>
      <c r="E106" s="24">
        <f>INDEX(Output!$B$3:$P$17,MATCH('Defensive Summary'!E$1,Output!$A$3:$A$17,0),MATCH('Defensive Summary'!$A106,Output!$B$2:$P$2,0))*INDEX(Output!$B$3:$P$17,MATCH('Defensive Summary'!E$1,Output!$A$3:$A$17,0),MATCH('Defensive Summary'!$B106,Output!$B$2:$P$2,0))</f>
        <v>1</v>
      </c>
      <c r="F106" s="24">
        <f>INDEX(Output!$B$3:$P$17,MATCH('Defensive Summary'!F$1,Output!$A$3:$A$17,0),MATCH('Defensive Summary'!$A106,Output!$B$2:$P$2,0))*INDEX(Output!$B$3:$P$17,MATCH('Defensive Summary'!F$1,Output!$A$3:$A$17,0),MATCH('Defensive Summary'!$B106,Output!$B$2:$P$2,0))</f>
        <v>1</v>
      </c>
      <c r="G106" s="24">
        <f>INDEX(Output!$B$3:$P$17,MATCH('Defensive Summary'!G$1,Output!$A$3:$A$17,0),MATCH('Defensive Summary'!$A106,Output!$B$2:$P$2,0))*INDEX(Output!$B$3:$P$17,MATCH('Defensive Summary'!G$1,Output!$A$3:$A$17,0),MATCH('Defensive Summary'!$B106,Output!$B$2:$P$2,0))</f>
        <v>1</v>
      </c>
      <c r="H106" s="24">
        <f>INDEX(Output!$B$3:$P$17,MATCH('Defensive Summary'!H$1,Output!$A$3:$A$17,0),MATCH('Defensive Summary'!$A106,Output!$B$2:$P$2,0))*INDEX(Output!$B$3:$P$17,MATCH('Defensive Summary'!H$1,Output!$A$3:$A$17,0),MATCH('Defensive Summary'!$B106,Output!$B$2:$P$2,0))</f>
        <v>0.5</v>
      </c>
      <c r="I106" s="24">
        <f>INDEX(Output!$B$3:$P$17,MATCH('Defensive Summary'!I$1,Output!$A$3:$A$17,0),MATCH('Defensive Summary'!$A106,Output!$B$2:$P$2,0))*INDEX(Output!$B$3:$P$17,MATCH('Defensive Summary'!I$1,Output!$A$3:$A$17,0),MATCH('Defensive Summary'!$B106,Output!$B$2:$P$2,0))</f>
        <v>0.5</v>
      </c>
      <c r="J106" s="24">
        <f>INDEX(Output!$B$3:$P$17,MATCH('Defensive Summary'!J$1,Output!$A$3:$A$17,0),MATCH('Defensive Summary'!$A106,Output!$B$2:$P$2,0))*INDEX(Output!$B$3:$P$17,MATCH('Defensive Summary'!J$1,Output!$A$3:$A$17,0),MATCH('Defensive Summary'!$B106,Output!$B$2:$P$2,0))</f>
        <v>1</v>
      </c>
      <c r="K106" s="24">
        <f>INDEX(Output!$B$3:$P$17,MATCH('Defensive Summary'!K$1,Output!$A$3:$A$17,0),MATCH('Defensive Summary'!$A106,Output!$B$2:$P$2,0))*INDEX(Output!$B$3:$P$17,MATCH('Defensive Summary'!K$1,Output!$A$3:$A$17,0),MATCH('Defensive Summary'!$B106,Output!$B$2:$P$2,0))</f>
        <v>2</v>
      </c>
      <c r="L106" s="24">
        <f>INDEX(Output!$B$3:$P$17,MATCH('Defensive Summary'!L$1,Output!$A$3:$A$17,0),MATCH('Defensive Summary'!$A106,Output!$B$2:$P$2,0))*INDEX(Output!$B$3:$P$17,MATCH('Defensive Summary'!L$1,Output!$A$3:$A$17,0),MATCH('Defensive Summary'!$B106,Output!$B$2:$P$2,0))</f>
        <v>1</v>
      </c>
      <c r="M106" s="24">
        <f>INDEX(Output!$B$3:$P$17,MATCH('Defensive Summary'!M$1,Output!$A$3:$A$17,0),MATCH('Defensive Summary'!$A106,Output!$B$2:$P$2,0))*INDEX(Output!$B$3:$P$17,MATCH('Defensive Summary'!M$1,Output!$A$3:$A$17,0),MATCH('Defensive Summary'!$B106,Output!$B$2:$P$2,0))</f>
        <v>0.5</v>
      </c>
      <c r="N106" s="24">
        <f>INDEX(Output!$B$3:$P$17,MATCH('Defensive Summary'!N$1,Output!$A$3:$A$17,0),MATCH('Defensive Summary'!$A106,Output!$B$2:$P$2,0))*INDEX(Output!$B$3:$P$17,MATCH('Defensive Summary'!N$1,Output!$A$3:$A$17,0),MATCH('Defensive Summary'!$B106,Output!$B$2:$P$2,0))</f>
        <v>0.5</v>
      </c>
      <c r="O106" s="24">
        <f>INDEX(Output!$B$3:$P$17,MATCH('Defensive Summary'!O$1,Output!$A$3:$A$17,0),MATCH('Defensive Summary'!$A106,Output!$B$2:$P$2,0))*INDEX(Output!$B$3:$P$17,MATCH('Defensive Summary'!O$1,Output!$A$3:$A$17,0),MATCH('Defensive Summary'!$B106,Output!$B$2:$P$2,0))</f>
        <v>2</v>
      </c>
      <c r="P106" s="24">
        <f>INDEX(Output!$B$3:$P$17,MATCH('Defensive Summary'!P$1,Output!$A$3:$A$17,0),MATCH('Defensive Summary'!$A106,Output!$B$2:$P$2,0))*INDEX(Output!$B$3:$P$17,MATCH('Defensive Summary'!P$1,Output!$A$3:$A$17,0),MATCH('Defensive Summary'!$B106,Output!$B$2:$P$2,0))</f>
        <v>0.5</v>
      </c>
      <c r="Q106" s="24">
        <f>INDEX(Output!$B$3:$P$17,MATCH('Defensive Summary'!Q$1,Output!$A$3:$A$17,0),MATCH('Defensive Summary'!$A106,Output!$B$2:$P$2,0))*INDEX(Output!$B$3:$P$17,MATCH('Defensive Summary'!Q$1,Output!$A$3:$A$17,0),MATCH('Defensive Summary'!$B106,Output!$B$2:$P$2,0))</f>
        <v>1</v>
      </c>
      <c r="R106" s="24"/>
      <c r="S106" s="25">
        <f t="shared" si="1"/>
        <v>4</v>
      </c>
      <c r="T106" s="22" t="s">
        <v>13</v>
      </c>
      <c r="U106" s="22" t="s">
        <v>14</v>
      </c>
      <c r="V106" s="24" cm="1">
        <f t="array" ref="V106">_xlfn.IFS(C106=1,0,C106=2,-1,C106=4,-2,C106=0.5,1,C106=0.25,2,C106=0,4)</f>
        <v>0</v>
      </c>
      <c r="W106" s="24" cm="1">
        <f t="array" ref="W106">_xlfn.IFS(D106=1,0,D106=2,-1,D106=4,-2,D106=0.5,1,D106=0.25,2,D106=0,4)</f>
        <v>1</v>
      </c>
      <c r="X106" s="24" cm="1">
        <f t="array" ref="X106">_xlfn.IFS(E106=1,0,E106=2,-1,E106=4,-2,E106=0.5,1,E106=0.25,2,E106=0,4)</f>
        <v>0</v>
      </c>
      <c r="Y106" s="24" cm="1">
        <f t="array" ref="Y106">_xlfn.IFS(F106=1,0,F106=2,-1,F106=4,-2,F106=0.5,1,F106=0.25,2,F106=0,4)</f>
        <v>0</v>
      </c>
      <c r="Z106" s="24" cm="1">
        <f t="array" ref="Z106">_xlfn.IFS(G106=1,0,G106=2,-1,G106=4,-2,G106=0.5,1,G106=0.25,2,G106=0,4)</f>
        <v>0</v>
      </c>
      <c r="AA106" s="24" cm="1">
        <f t="array" ref="AA106">_xlfn.IFS(H106=1,0,H106=2,-1,H106=4,-2,H106=0.5,1,H106=0.25,2,H106=0,4)</f>
        <v>1</v>
      </c>
      <c r="AB106" s="24" cm="1">
        <f t="array" ref="AB106">_xlfn.IFS(I106=1,0,I106=2,-1,I106=4,-2,I106=0.5,1,I106=0.25,2,I106=0,4)</f>
        <v>1</v>
      </c>
      <c r="AC106" s="24" cm="1">
        <f t="array" ref="AC106">_xlfn.IFS(J106=1,0,J106=2,-1,J106=4,-2,J106=0.5,1,J106=0.25,2,J106=0,4)</f>
        <v>0</v>
      </c>
      <c r="AD106" s="24" cm="1">
        <f t="array" ref="AD106">_xlfn.IFS(K106=1,0,K106=2,-1,K106=4,-2,K106=0.5,1,K106=0.25,2,K106=0,4)</f>
        <v>-1</v>
      </c>
      <c r="AE106" s="24" cm="1">
        <f t="array" ref="AE106">_xlfn.IFS(L106=1,0,L106=2,-1,L106=4,-2,L106=0.5,1,L106=0.25,2,L106=0,4)</f>
        <v>0</v>
      </c>
      <c r="AF106" s="24" cm="1">
        <f t="array" ref="AF106">_xlfn.IFS(M106=1,0,M106=2,-1,M106=4,-2,M106=0.5,1,M106=0.25,2,M106=0,4)</f>
        <v>1</v>
      </c>
      <c r="AG106" s="24" cm="1">
        <f t="array" ref="AG106">_xlfn.IFS(N106=1,0,N106=2,-1,N106=4,-2,N106=0.5,1,N106=0.25,2,N106=0,4)</f>
        <v>1</v>
      </c>
      <c r="AH106" s="24" cm="1">
        <f t="array" ref="AH106">_xlfn.IFS(O106=1,0,O106=2,-1,O106=4,-2,O106=0.5,1,O106=0.25,2,O106=0,4)</f>
        <v>-1</v>
      </c>
      <c r="AI106" s="24" cm="1">
        <f t="array" ref="AI106">_xlfn.IFS(P106=1,0,P106=2,-1,P106=4,-2,P106=0.5,1,P106=0.25,2,P106=0,4)</f>
        <v>1</v>
      </c>
      <c r="AJ106" s="24" cm="1">
        <f t="array" ref="AJ106">_xlfn.IFS(Q106=1,0,Q106=2,-1,Q106=4,-2,Q106=0.5,1,Q106=0.25,2,Q106=0,4)</f>
        <v>0</v>
      </c>
    </row>
  </sheetData>
  <conditionalFormatting sqref="C2:R10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AJ10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Output</vt:lpstr>
      <vt:lpstr>Defensive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Wu</dc:creator>
  <cp:lastModifiedBy>Terry Wu</cp:lastModifiedBy>
  <dcterms:created xsi:type="dcterms:W3CDTF">2025-07-07T17:19:39Z</dcterms:created>
  <dcterms:modified xsi:type="dcterms:W3CDTF">2025-07-07T21:01:20Z</dcterms:modified>
</cp:coreProperties>
</file>